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137" documentId="13_ncr:1_{F92F9C3C-AA1A-4FAD-B783-9B7F17B058CA}" xr6:coauthVersionLast="47" xr6:coauthVersionMax="47" xr10:uidLastSave="{B60EC87C-7763-4292-9984-3A13136FC9C4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5" l="1" a="1"/>
  <c r="P3" i="15" s="1"/>
  <c r="O3" i="15" a="1"/>
  <c r="O3" i="15" s="1"/>
  <c r="N3" i="15" a="1"/>
  <c r="N3" i="15" s="1"/>
  <c r="M3" i="15" a="1"/>
  <c r="M3" i="15" s="1"/>
  <c r="L3" i="15" a="1"/>
  <c r="L3" i="15" s="1"/>
  <c r="K3" i="15" a="1"/>
  <c r="K3" i="15" s="1"/>
  <c r="P3" i="14"/>
  <c r="O3" i="14"/>
  <c r="N3" i="14"/>
  <c r="M3" i="14"/>
  <c r="L3" i="14"/>
  <c r="K3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<sst xmlns="http://schemas.openxmlformats.org/spreadsheetml/2006/main" count="36" uniqueCount="13">
  <si>
    <t>Geladeira</t>
  </si>
  <si>
    <t>Fogão</t>
  </si>
  <si>
    <t>Sofá</t>
  </si>
  <si>
    <t>Cama</t>
  </si>
  <si>
    <t>TV</t>
  </si>
  <si>
    <t>Item</t>
  </si>
  <si>
    <t>Janeiro</t>
  </si>
  <si>
    <t>Fevereiro</t>
  </si>
  <si>
    <t>Março</t>
  </si>
  <si>
    <t>Abril</t>
  </si>
  <si>
    <t>Maio</t>
  </si>
  <si>
    <t>Grafico</t>
  </si>
  <si>
    <t>Gratico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</si>
</sst>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[Red]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44" fontId="0" fillId="2" borderId="0" xfId="1" applyFont="1" applyFill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Professor!$K$3</c:f>
              <c:strCache>
                <c:ptCount val="1"/>
                <c:pt idx="0">
                  <c:v>Geladeira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Professor!$L$2:$P$2</c15:sqref>
                  </c15:fullRef>
                </c:ext>
              </c:extLst>
              <c:f>Professor!$L$2:$P$2</c:f>
              <c:strCache>
                <c:ptCount val="5"/>
                <c:pt idx="0">
                  <c:v> Janeiro </c:v>
                </c:pt>
                <c:pt idx="1">
                  <c:v> Fevereiro </c:v>
                </c:pt>
                <c:pt idx="2">
                  <c:v> Março </c:v>
                </c:pt>
                <c:pt idx="3">
                  <c:v> Abril </c:v>
                </c:pt>
                <c:pt idx="4">
                  <c:v> Maio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Professor!$L$3:$Q$3</c15:sqref>
                  </c15:fullRef>
                </c:ext>
              </c:extLst>
              <c:f>Professor!$L$3:$P$3</c:f>
              <c:numCache>
                <c:formatCode>General</c:formatCode>
                <c:ptCount val="5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50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6-4619-8718-04FA1154B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43967"/>
        <c:axId val="1523029823"/>
      </c:barChart>
      <c:catAx>
        <c:axId val="15230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029823"/>
        <c:crosses val="autoZero"/>
        <c:auto val="1"/>
        <c:lblAlgn val="ctr"/>
        <c:lblOffset val="100"/>
        <c:noMultiLvlLbl val="0"/>
      </c:catAx>
      <c:valAx>
        <c:axId val="152302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04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Professor!$K$3</c:f>
              <c:strCache>
                <c:ptCount val="1"/>
                <c:pt idx="0">
                  <c:v>Geladeira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A5-4610-8CFA-24B5866874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A5-4610-8CFA-24B5866874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A5-4610-8CFA-24B5866874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A5-4610-8CFA-24B5866874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A5-4610-8CFA-24B5866874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A5-4610-8CFA-24B5866874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Professor!$L$2:$Q$2</c:f>
              <c:strCache>
                <c:ptCount val="6"/>
                <c:pt idx="0">
                  <c:v> Janeiro </c:v>
                </c:pt>
                <c:pt idx="1">
                  <c:v> Fevereiro </c:v>
                </c:pt>
                <c:pt idx="2">
                  <c:v> Março </c:v>
                </c:pt>
                <c:pt idx="3">
                  <c:v> Abril </c:v>
                </c:pt>
                <c:pt idx="4">
                  <c:v> Maio </c:v>
                </c:pt>
                <c:pt idx="5">
                  <c:v> Grafico </c:v>
                </c:pt>
              </c:strCache>
            </c:strRef>
          </c:cat>
          <c:val>
            <c:numRef>
              <c:f>Professor!$L$3:$Q$3</c:f>
              <c:numCache>
                <c:formatCode>General</c:formatCode>
                <c:ptCount val="6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50</c:v>
                </c:pt>
                <c:pt idx="4">
                  <c:v>35</c:v>
                </c:pt>
                <c:pt idx="5" formatCode="#,##0_ ;[Red]\-#,##0\ 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A-4B12-964E-AD67C534D5D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Aluno!$K$3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Aluno!$L$2:$P$2</c15:sqref>
                  </c15:fullRef>
                </c:ext>
              </c:extLst>
              <c:f>Aluno!$L$2:$P$2</c:f>
              <c:strCache>
                <c:ptCount val="5"/>
                <c:pt idx="0">
                  <c:v> Janeiro </c:v>
                </c:pt>
                <c:pt idx="1">
                  <c:v> Fevereiro </c:v>
                </c:pt>
                <c:pt idx="2">
                  <c:v> Março </c:v>
                </c:pt>
                <c:pt idx="3">
                  <c:v> Abril </c:v>
                </c:pt>
                <c:pt idx="4">
                  <c:v> Maio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Aluno!$L$3:$Q$3</c15:sqref>
                  </c15:fullRef>
                </c:ext>
              </c:extLst>
              <c:f>Aluno!$L$3:$P$3</c:f>
              <c:numCache>
                <c:formatCode>General</c:formatCode>
                <c:ptCount val="5"/>
                <c:pt idx="0">
                  <c:v>34</c:v>
                </c:pt>
                <c:pt idx="1">
                  <c:v>10</c:v>
                </c:pt>
                <c:pt idx="2">
                  <c:v>30</c:v>
                </c:pt>
                <c:pt idx="3">
                  <c:v>29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7-4422-B9CF-FA1BEFD44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141343"/>
        <c:axId val="1654141823"/>
      </c:barChart>
      <c:catAx>
        <c:axId val="165414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141823"/>
        <c:crosses val="autoZero"/>
        <c:auto val="1"/>
        <c:lblAlgn val="ctr"/>
        <c:lblOffset val="100"/>
        <c:noMultiLvlLbl val="0"/>
      </c:catAx>
      <c:valAx>
        <c:axId val="165414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14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Aluno!$K$3</c:f>
              <c:strCache>
                <c:ptCount val="1"/>
                <c:pt idx="0">
                  <c:v>TV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Aluno!$L$2:$Q$2</c:f>
              <c:strCache>
                <c:ptCount val="6"/>
                <c:pt idx="0">
                  <c:v> Janeiro </c:v>
                </c:pt>
                <c:pt idx="1">
                  <c:v> Fevereiro </c:v>
                </c:pt>
                <c:pt idx="2">
                  <c:v> Março </c:v>
                </c:pt>
                <c:pt idx="3">
                  <c:v> Abril </c:v>
                </c:pt>
                <c:pt idx="4">
                  <c:v> Maio </c:v>
                </c:pt>
                <c:pt idx="5">
                  <c:v> Gratico </c:v>
                </c:pt>
              </c:strCache>
            </c:strRef>
          </c:cat>
          <c:val>
            <c:numRef>
              <c:f>Aluno!$L$3:$Q$3</c:f>
              <c:numCache>
                <c:formatCode>General</c:formatCode>
                <c:ptCount val="6"/>
                <c:pt idx="0">
                  <c:v>34</c:v>
                </c:pt>
                <c:pt idx="1">
                  <c:v>10</c:v>
                </c:pt>
                <c:pt idx="2">
                  <c:v>30</c:v>
                </c:pt>
                <c:pt idx="3">
                  <c:v>29</c:v>
                </c:pt>
                <c:pt idx="4">
                  <c:v>21</c:v>
                </c:pt>
                <c:pt idx="5" formatCode="#,##0_ ;[Red]\-#,##0\ 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0-421B-8377-F118086414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$Q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Spin" dx="22" fmlaLink="$Q$3" max="5" min="1" page="10"/>
</file>

<file path=xl/ctrlProps/ctrlProp7.xml><?xml version="1.0" encoding="utf-8"?>
<formControlPr xmlns="http://schemas.microsoft.com/office/spreadsheetml/2009/9/main" objectType="List" dx="22" fmlaLink="$Q$3" fmlaRange="$B$3:$B$7" noThreeD="1" sel="1" val="0"/>
</file>

<file path=xl/ctrlProps/ctrlProp8.xml><?xml version="1.0" encoding="utf-8"?>
<formControlPr xmlns="http://schemas.microsoft.com/office/spreadsheetml/2009/9/main" objectType="Radio" firstButton="1" fmlaLink="$Q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Spin" dx="31" fmlaLink="$Q$3" max="5" min="1" page="10" val="5"/>
</file>

<file path=xl/ctrlProps/ctrlProp14.xml><?xml version="1.0" encoding="utf-8"?>
<formControlPr xmlns="http://schemas.microsoft.com/office/spreadsheetml/2009/9/main" objectType="List" dx="31" fmlaLink="$Q$3" fmlaRange="$B$3:$B$7" noThreeD="1" sel="5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0</xdr:row>
      <xdr:rowOff>123825</xdr:rowOff>
    </xdr:from>
    <xdr:to>
      <xdr:col>17</xdr:col>
      <xdr:colOff>571500</xdr:colOff>
      <xdr:row>14</xdr:row>
      <xdr:rowOff>128587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9458271-6BC4-4267-B528-7D685BA27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355600</xdr:colOff>
          <xdr:row>5</xdr:row>
          <xdr:rowOff>165100</xdr:rowOff>
        </xdr:from>
        <xdr:to>
          <xdr:col>9</xdr:col>
          <xdr:colOff>31750</xdr:colOff>
          <xdr:row>7</xdr:row>
          <xdr:rowOff>31750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Geladeira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355600</xdr:colOff>
          <xdr:row>7</xdr:row>
          <xdr:rowOff>133350</xdr:rowOff>
        </xdr:from>
        <xdr:to>
          <xdr:col>9</xdr:col>
          <xdr:colOff>31750</xdr:colOff>
          <xdr:row>9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Fogão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355600</xdr:colOff>
          <xdr:row>9</xdr:row>
          <xdr:rowOff>152400</xdr:rowOff>
        </xdr:from>
        <xdr:to>
          <xdr:col>9</xdr:col>
          <xdr:colOff>31750</xdr:colOff>
          <xdr:row>11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Sofá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361950</xdr:colOff>
          <xdr:row>11</xdr:row>
          <xdr:rowOff>114300</xdr:rowOff>
        </xdr:from>
        <xdr:to>
          <xdr:col>9</xdr:col>
          <xdr:colOff>38100</xdr:colOff>
          <xdr:row>12</xdr:row>
          <xdr:rowOff>171450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361950</xdr:colOff>
          <xdr:row>13</xdr:row>
          <xdr:rowOff>95250</xdr:rowOff>
        </xdr:from>
        <xdr:to>
          <xdr:col>9</xdr:col>
          <xdr:colOff>38100</xdr:colOff>
          <xdr:row>14</xdr:row>
          <xdr:rowOff>152400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374650</xdr:colOff>
          <xdr:row>2</xdr:row>
          <xdr:rowOff>114300</xdr:rowOff>
        </xdr:from>
        <xdr:to>
          <xdr:col>7</xdr:col>
          <xdr:colOff>812800</xdr:colOff>
          <xdr:row>5</xdr:row>
          <xdr:rowOff>12700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361950</xdr:colOff>
          <xdr:row>15</xdr:row>
          <xdr:rowOff>57150</xdr:rowOff>
        </xdr:from>
        <xdr:to>
          <xdr:col>8</xdr:col>
          <xdr:colOff>603250</xdr:colOff>
          <xdr:row>22</xdr:row>
          <xdr:rowOff>0</xdr:rowOff>
        </xdr:to>
        <xdr:sp macro="" textlink="">
          <xdr:nvSpPr>
            <xdr:cNvPr id="1031" name="List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66675</xdr:colOff>
      <xdr:row>0</xdr:row>
      <xdr:rowOff>119062</xdr:rowOff>
    </xdr:from>
    <xdr:to>
      <xdr:col>25</xdr:col>
      <xdr:colOff>371475</xdr:colOff>
      <xdr:row>15</xdr:row>
      <xdr:rowOff>4762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9BB8939-6C70-41B8-9EDE-790BD0086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898525</xdr:colOff>
      <xdr:row>0</xdr:row>
      <xdr:rowOff>19050</xdr:rowOff>
    </xdr:from>
    <xdr:to>
      <xdr:col>17</xdr:col>
      <xdr:colOff>146050</xdr:colOff>
      <xdr:row>14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10E4E6-7CB4-3C23-BD2D-778397848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6</xdr:row>
          <xdr:rowOff>25400</xdr:rowOff>
        </xdr:from>
        <xdr:to>
          <xdr:col>8</xdr:col>
          <xdr:colOff>615950</xdr:colOff>
          <xdr:row>7</xdr:row>
          <xdr:rowOff>82550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Geladeira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8</xdr:row>
          <xdr:rowOff>25400</xdr:rowOff>
        </xdr:from>
        <xdr:to>
          <xdr:col>8</xdr:col>
          <xdr:colOff>615950</xdr:colOff>
          <xdr:row>9</xdr:row>
          <xdr:rowOff>82550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CC491AB-EC0D-0582-67B0-65DBFBBBE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Fogao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234950</xdr:colOff>
          <xdr:row>10</xdr:row>
          <xdr:rowOff>44450</xdr:rowOff>
        </xdr:from>
        <xdr:to>
          <xdr:col>8</xdr:col>
          <xdr:colOff>628650</xdr:colOff>
          <xdr:row>11</xdr:row>
          <xdr:rowOff>101600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8A66A7AC-65D4-F7D5-15AE-1D0AA499C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Sofa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234950</xdr:colOff>
          <xdr:row>12</xdr:row>
          <xdr:rowOff>44450</xdr:rowOff>
        </xdr:from>
        <xdr:to>
          <xdr:col>8</xdr:col>
          <xdr:colOff>628650</xdr:colOff>
          <xdr:row>13</xdr:row>
          <xdr:rowOff>101600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2A189C5A-66F8-15D5-993B-536338A51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234950</xdr:colOff>
          <xdr:row>14</xdr:row>
          <xdr:rowOff>63500</xdr:rowOff>
        </xdr:from>
        <xdr:to>
          <xdr:col>8</xdr:col>
          <xdr:colOff>628650</xdr:colOff>
          <xdr:row>15</xdr:row>
          <xdr:rowOff>120650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9A2732C9-3C98-555F-CCCA-AA7FBD908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298450</xdr:colOff>
          <xdr:row>2</xdr:row>
          <xdr:rowOff>101600</xdr:rowOff>
        </xdr:from>
        <xdr:to>
          <xdr:col>7</xdr:col>
          <xdr:colOff>825500</xdr:colOff>
          <xdr:row>5</xdr:row>
          <xdr:rowOff>19050</xdr:rowOff>
        </xdr:to>
        <xdr:sp macro="" textlink="">
          <xdr:nvSpPr>
            <xdr:cNvPr id="2055" name="Spinner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16</xdr:row>
          <xdr:rowOff>114300</xdr:rowOff>
        </xdr:from>
        <xdr:to>
          <xdr:col>8</xdr:col>
          <xdr:colOff>406400</xdr:colOff>
          <xdr:row>23</xdr:row>
          <xdr:rowOff>63500</xdr:rowOff>
        </xdr:to>
        <xdr:sp macro="" textlink="">
          <xdr:nvSpPr>
            <xdr:cNvPr id="2057" name="List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142875</xdr:colOff>
      <xdr:row>0</xdr:row>
      <xdr:rowOff>19050</xdr:rowOff>
    </xdr:from>
    <xdr:to>
      <xdr:col>24</xdr:col>
      <xdr:colOff>447675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91921E-E0BE-8932-8669-22A7FE9AD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2:Q7"/>
  <sheetViews>
    <sheetView showGridLines="0" topLeftCell="H1" zoomScaleNormal="100" workbookViewId="0">
      <selection activeCell="H1" sqref="H1"/>
    </sheetView>
  </sheetViews>
  <sheetFormatPr defaultRowHeight="14.5" x14ac:dyDescent="0.35"/>
  <cols>
    <col min="1" max="1" width="5.26953125" hidden="1" customWidth="1"/>
    <col min="2" max="2" width="14.54296875" hidden="1" customWidth="1"/>
    <col min="3" max="7" width="13.1796875" hidden="1" customWidth="1"/>
    <col min="8" max="9" width="13.1796875" customWidth="1"/>
  </cols>
  <sheetData>
    <row r="2" spans="2:17" x14ac:dyDescent="0.35">
      <c r="B2" s="1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K2" s="1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</row>
    <row r="3" spans="2:17" x14ac:dyDescent="0.35">
      <c r="B3" s="2" t="s">
        <v>0</v>
      </c>
      <c r="C3" s="4">
        <v>40</v>
      </c>
      <c r="D3" s="4">
        <v>30</v>
      </c>
      <c r="E3" s="4">
        <v>20</v>
      </c>
      <c r="F3" s="4">
        <v>50</v>
      </c>
      <c r="G3" s="4">
        <v>35</v>
      </c>
      <c r="H3" s="6"/>
      <c r="I3" s="6"/>
      <c r="K3" s="2" t="str">
        <f>INDEX($B$3:$G$7,$Q$3,1)</f>
        <v>Geladeira</v>
      </c>
      <c r="L3" s="2">
        <f>INDEX($B$3:$G$7,$Q$3,2)</f>
        <v>40</v>
      </c>
      <c r="M3" s="2">
        <f>INDEX($B$3:$G$7,$Q$3,3)</f>
        <v>30</v>
      </c>
      <c r="N3" s="2">
        <f>INDEX($B$3:$G$7,$Q$3,4)</f>
        <v>20</v>
      </c>
      <c r="O3" s="2">
        <f>INDEX($B$3:$G$7,$Q$3,5)</f>
        <v>50</v>
      </c>
      <c r="P3" s="2">
        <f>INDEX($B$3:$G$7,$Q$3,6)</f>
        <v>35</v>
      </c>
      <c r="Q3" s="5">
        <v>1</v>
      </c>
    </row>
    <row r="4" spans="2:17" x14ac:dyDescent="0.35">
      <c r="B4" s="2" t="s">
        <v>1</v>
      </c>
      <c r="C4" s="4">
        <v>20</v>
      </c>
      <c r="D4" s="4">
        <v>12</v>
      </c>
      <c r="E4" s="4">
        <v>34</v>
      </c>
      <c r="F4" s="4">
        <v>42</v>
      </c>
      <c r="G4" s="4">
        <v>18</v>
      </c>
      <c r="H4" s="6"/>
      <c r="I4" s="6"/>
    </row>
    <row r="5" spans="2:17" x14ac:dyDescent="0.35">
      <c r="B5" s="2" t="s">
        <v>2</v>
      </c>
      <c r="C5" s="4">
        <v>9</v>
      </c>
      <c r="D5" s="4">
        <v>34</v>
      </c>
      <c r="E5" s="4">
        <v>29</v>
      </c>
      <c r="F5" s="4">
        <v>17</v>
      </c>
      <c r="G5" s="4">
        <v>32</v>
      </c>
      <c r="H5" s="6"/>
      <c r="I5" s="6"/>
    </row>
    <row r="6" spans="2:17" x14ac:dyDescent="0.35">
      <c r="B6" s="2" t="s">
        <v>3</v>
      </c>
      <c r="C6" s="4">
        <v>23</v>
      </c>
      <c r="D6" s="4">
        <v>32</v>
      </c>
      <c r="E6" s="4">
        <v>21</v>
      </c>
      <c r="F6" s="4">
        <v>12</v>
      </c>
      <c r="G6" s="4">
        <v>45</v>
      </c>
      <c r="H6" s="6"/>
      <c r="I6" s="6"/>
    </row>
    <row r="7" spans="2:17" x14ac:dyDescent="0.35">
      <c r="B7" s="2" t="s">
        <v>4</v>
      </c>
      <c r="C7" s="4">
        <v>34</v>
      </c>
      <c r="D7" s="4">
        <v>10</v>
      </c>
      <c r="E7" s="4">
        <v>30</v>
      </c>
      <c r="F7" s="4">
        <v>29</v>
      </c>
      <c r="G7" s="4">
        <v>21</v>
      </c>
      <c r="H7" s="6"/>
      <c r="I7" s="6"/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7</xdr:col>
                    <xdr:colOff>355600</xdr:colOff>
                    <xdr:row>5</xdr:row>
                    <xdr:rowOff>165100</xdr:rowOff>
                  </from>
                  <to>
                    <xdr:col>9</xdr:col>
                    <xdr:colOff>31750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7</xdr:col>
                    <xdr:colOff>355600</xdr:colOff>
                    <xdr:row>7</xdr:row>
                    <xdr:rowOff>133350</xdr:rowOff>
                  </from>
                  <to>
                    <xdr:col>9</xdr:col>
                    <xdr:colOff>31750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7</xdr:col>
                    <xdr:colOff>355600</xdr:colOff>
                    <xdr:row>9</xdr:row>
                    <xdr:rowOff>152400</xdr:rowOff>
                  </from>
                  <to>
                    <xdr:col>9</xdr:col>
                    <xdr:colOff>31750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7</xdr:col>
                    <xdr:colOff>361950</xdr:colOff>
                    <xdr:row>11</xdr:row>
                    <xdr:rowOff>114300</xdr:rowOff>
                  </from>
                  <to>
                    <xdr:col>9</xdr:col>
                    <xdr:colOff>38100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7</xdr:col>
                    <xdr:colOff>361950</xdr:colOff>
                    <xdr:row>13</xdr:row>
                    <xdr:rowOff>95250</xdr:rowOff>
                  </from>
                  <to>
                    <xdr:col>9</xdr:col>
                    <xdr:colOff>38100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Spinner 6">
              <controlPr defaultSize="0" autoPict="0">
                <anchor moveWithCells="1" sizeWithCells="1">
                  <from>
                    <xdr:col>7</xdr:col>
                    <xdr:colOff>374650</xdr:colOff>
                    <xdr:row>2</xdr:row>
                    <xdr:rowOff>114300</xdr:rowOff>
                  </from>
                  <to>
                    <xdr:col>7</xdr:col>
                    <xdr:colOff>812800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List Box 7">
              <controlPr defaultSize="0" autoLine="0" autoPict="0">
                <anchor moveWithCells="1">
                  <from>
                    <xdr:col>7</xdr:col>
                    <xdr:colOff>361950</xdr:colOff>
                    <xdr:row>15</xdr:row>
                    <xdr:rowOff>57150</xdr:rowOff>
                  </from>
                  <to>
                    <xdr:col>8</xdr:col>
                    <xdr:colOff>603250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B2:Q7"/>
  <sheetViews>
    <sheetView showGridLines="0" tabSelected="1" topLeftCell="H1" zoomScaleNormal="100" workbookViewId="0">
      <selection activeCell="I1" sqref="I1:I1048576"/>
    </sheetView>
  </sheetViews>
  <sheetFormatPr defaultRowHeight="14.5" x14ac:dyDescent="0.35"/>
  <cols>
    <col min="1" max="1" width="5.26953125" customWidth="1"/>
    <col min="2" max="2" width="14.54296875" hidden="1" customWidth="1"/>
    <col min="3" max="7" width="13.1796875" hidden="1" customWidth="1"/>
    <col min="8" max="9" width="13.1796875" customWidth="1"/>
    <col min="17" max="17" width="9.08984375" bestFit="1" customWidth="1"/>
  </cols>
  <sheetData>
    <row r="2" spans="2:17" x14ac:dyDescent="0.35">
      <c r="B2" s="1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/>
      <c r="I2" s="3"/>
      <c r="J2" s="3"/>
      <c r="K2" s="1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12</v>
      </c>
    </row>
    <row r="3" spans="2:17" x14ac:dyDescent="0.35">
      <c r="B3" s="2" t="s">
        <v>0</v>
      </c>
      <c r="C3" s="4">
        <v>40</v>
      </c>
      <c r="D3" s="4">
        <v>30</v>
      </c>
      <c r="E3" s="4">
        <v>20</v>
      </c>
      <c r="F3" s="4">
        <v>50</v>
      </c>
      <c r="G3" s="4">
        <v>35</v>
      </c>
      <c r="H3" s="6"/>
      <c r="I3" s="6"/>
      <c r="K3" s="2" t="str" cm="1">
        <f t="array" ref="K3">INDEX($B$3:$G$7,$Q$3,1)</f>
        <v>TV</v>
      </c>
      <c r="L3" s="2" cm="1">
        <f t="array" ref="L3">INDEX($B$3:$G$7,$Q$3,2)</f>
        <v>34</v>
      </c>
      <c r="M3" s="2" cm="1">
        <f t="array" ref="M3">INDEX($B$3:$G$7,$Q$3,3)</f>
        <v>10</v>
      </c>
      <c r="N3" s="2" cm="1">
        <f t="array" ref="N3">INDEX($B$3:$G$7,$Q$3,4)</f>
        <v>30</v>
      </c>
      <c r="O3" s="2" cm="1">
        <f t="array" ref="O3">INDEX($B$3:$G$7,$Q$3,5)</f>
        <v>29</v>
      </c>
      <c r="P3" s="2" cm="1">
        <f t="array" ref="P3">INDEX($B$3:$G$7,$Q$3,6)</f>
        <v>21</v>
      </c>
      <c r="Q3" s="5">
        <v>5</v>
      </c>
    </row>
    <row r="4" spans="2:17" x14ac:dyDescent="0.35">
      <c r="B4" s="2" t="s">
        <v>1</v>
      </c>
      <c r="C4" s="4">
        <v>20</v>
      </c>
      <c r="D4" s="4">
        <v>12</v>
      </c>
      <c r="E4" s="4">
        <v>34</v>
      </c>
      <c r="F4" s="4">
        <v>42</v>
      </c>
      <c r="G4" s="4">
        <v>18</v>
      </c>
      <c r="H4" s="6"/>
      <c r="I4" s="6"/>
    </row>
    <row r="5" spans="2:17" x14ac:dyDescent="0.35">
      <c r="B5" s="2" t="s">
        <v>2</v>
      </c>
      <c r="C5" s="4">
        <v>9</v>
      </c>
      <c r="D5" s="4">
        <v>34</v>
      </c>
      <c r="E5" s="4">
        <v>29</v>
      </c>
      <c r="F5" s="4">
        <v>17</v>
      </c>
      <c r="G5" s="4">
        <v>32</v>
      </c>
      <c r="H5" s="6"/>
      <c r="I5" s="6"/>
    </row>
    <row r="6" spans="2:17" x14ac:dyDescent="0.35">
      <c r="B6" s="2" t="s">
        <v>3</v>
      </c>
      <c r="C6" s="4">
        <v>23</v>
      </c>
      <c r="D6" s="4">
        <v>32</v>
      </c>
      <c r="E6" s="4">
        <v>21</v>
      </c>
      <c r="F6" s="4">
        <v>12</v>
      </c>
      <c r="G6" s="4">
        <v>45</v>
      </c>
      <c r="H6" s="6"/>
      <c r="I6" s="6"/>
    </row>
    <row r="7" spans="2:17" x14ac:dyDescent="0.35">
      <c r="B7" s="2" t="s">
        <v>4</v>
      </c>
      <c r="C7" s="4">
        <v>34</v>
      </c>
      <c r="D7" s="4">
        <v>10</v>
      </c>
      <c r="E7" s="4">
        <v>30</v>
      </c>
      <c r="F7" s="4">
        <v>29</v>
      </c>
      <c r="G7" s="4">
        <v>21</v>
      </c>
      <c r="H7" s="6"/>
      <c r="I7" s="6"/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7</xdr:col>
                    <xdr:colOff>222250</xdr:colOff>
                    <xdr:row>6</xdr:row>
                    <xdr:rowOff>25400</xdr:rowOff>
                  </from>
                  <to>
                    <xdr:col>8</xdr:col>
                    <xdr:colOff>615950</xdr:colOff>
                    <xdr:row>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7</xdr:col>
                    <xdr:colOff>222250</xdr:colOff>
                    <xdr:row>8</xdr:row>
                    <xdr:rowOff>25400</xdr:rowOff>
                  </from>
                  <to>
                    <xdr:col>8</xdr:col>
                    <xdr:colOff>615950</xdr:colOff>
                    <xdr:row>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Option Button 4">
              <controlPr defaultSize="0" autoFill="0" autoLine="0" autoPict="0">
                <anchor moveWithCells="1">
                  <from>
                    <xdr:col>7</xdr:col>
                    <xdr:colOff>234950</xdr:colOff>
                    <xdr:row>10</xdr:row>
                    <xdr:rowOff>44450</xdr:rowOff>
                  </from>
                  <to>
                    <xdr:col>8</xdr:col>
                    <xdr:colOff>628650</xdr:colOff>
                    <xdr:row>11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Option Button 5">
              <controlPr defaultSize="0" autoFill="0" autoLine="0" autoPict="0">
                <anchor moveWithCells="1">
                  <from>
                    <xdr:col>7</xdr:col>
                    <xdr:colOff>234950</xdr:colOff>
                    <xdr:row>12</xdr:row>
                    <xdr:rowOff>44450</xdr:rowOff>
                  </from>
                  <to>
                    <xdr:col>8</xdr:col>
                    <xdr:colOff>628650</xdr:colOff>
                    <xdr:row>13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Option Button 6">
              <controlPr defaultSize="0" autoFill="0" autoLine="0" autoPict="0">
                <anchor moveWithCells="1">
                  <from>
                    <xdr:col>7</xdr:col>
                    <xdr:colOff>234950</xdr:colOff>
                    <xdr:row>14</xdr:row>
                    <xdr:rowOff>63500</xdr:rowOff>
                  </from>
                  <to>
                    <xdr:col>8</xdr:col>
                    <xdr:colOff>628650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Spinner 7">
              <controlPr defaultSize="0" autoPict="0">
                <anchor moveWithCells="1" sizeWithCells="1">
                  <from>
                    <xdr:col>7</xdr:col>
                    <xdr:colOff>298450</xdr:colOff>
                    <xdr:row>2</xdr:row>
                    <xdr:rowOff>101600</xdr:rowOff>
                  </from>
                  <to>
                    <xdr:col>7</xdr:col>
                    <xdr:colOff>825500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List Box 9">
              <controlPr defaultSize="0" autoLine="0" autoPict="0">
                <anchor moveWithCells="1">
                  <from>
                    <xdr:col>7</xdr:col>
                    <xdr:colOff>222250</xdr:colOff>
                    <xdr:row>16</xdr:row>
                    <xdr:rowOff>114300</xdr:rowOff>
                  </from>
                  <to>
                    <xdr:col>8</xdr:col>
                    <xdr:colOff>406400</xdr:colOff>
                    <xdr:row>23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2026-07-17T22:24:11Z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2026-07-17T22:10:28Z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af098d7e-5603-4307-9f19-69ed6009ee53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
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90" documentId="13_ncr:1_{3882203C-CD33-44D1-A4B8-F289330D5F1D}" xr6:coauthVersionLast="47" xr6:coauthVersionMax="47" xr10:uidLastSave="{D7B3737D-F538-45E9-AEAD-BDCA8BA51465}"/>
  <bookViews>
    <workbookView xWindow="-110" yWindow="-110" windowWidth="19420" windowHeight="11500" firstSheet="1" activeTab="3" xr2:uid="{446ACBA0-5887-44DF-B63F-26EB06614D0F}"/>
  </bookViews>
  <sheets>
    <sheet name="Tabela Professor" sheetId="1" state="hidden" r:id="rId1"/>
    <sheet name="Professor" sheetId="3" r:id="rId2"/>
    <sheet name="Tabela Aluno" sheetId="5" state="hidden" r:id="rId3"/>
    <sheet name="Alun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E10" i="5"/>
  <c r="E11" i="5"/>
  <c r="E12" i="5"/>
  <c r="E13" i="5"/>
  <c r="E14" i="5"/>
  <c r="E8" i="5"/>
  <c r="D9" i="5"/>
  <c r="D10" i="5"/>
  <c r="D11" i="5"/>
  <c r="D12" i="5"/>
  <c r="D13" i="5"/>
  <c r="D14" i="5"/>
  <c r="D8" i="5"/>
  <c r="C9" i="5"/>
  <c r="C10" i="5"/>
  <c r="C11" i="5"/>
  <c r="C12" i="5"/>
  <c r="C13" i="5"/>
  <c r="C14" i="5"/>
  <c r="C8" i="5"/>
  <c r="B9" i="5"/>
  <c r="B10" i="5"/>
  <c r="B11" i="5"/>
  <c r="B12" i="5"/>
  <c r="B13" i="5"/>
  <c r="B14" i="5"/>
  <c r="B8" i="5"/>
  <c r="E14" i="1"/>
  <c r="E13" i="1"/>
  <c r="E12" i="1"/>
  <c r="E11" i="1"/>
  <c r="E10" i="1"/>
  <c r="E9" i="1"/>
  <c r="E8" i="1"/>
  <c r="D8" i="1"/>
  <c r="D14" i="1"/>
  <c r="D13" i="1"/>
  <c r="D12" i="1"/>
  <c r="D11" i="1"/>
  <c r="D10" i="1"/>
  <c r="D9" i="1"/>
  <c r="C8" i="1"/>
  <c r="C14" i="1"/>
  <c r="C13" i="1"/>
  <c r="C12" i="1"/>
  <c r="C11" i="1"/>
  <c r="C10" i="1"/>
  <c r="C9" i="1"/>
  <c r="B8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<sst xmlns="http://schemas.openxmlformats.org/spreadsheetml/2006/main" count="52" uniqueCount="18">
  <si>
    <t>Vendas</t>
  </si>
  <si>
    <t>Vermelho</t>
  </si>
  <si>
    <t>Amarelo</t>
  </si>
  <si>
    <t>Azul</t>
  </si>
  <si>
    <t>Verde</t>
  </si>
  <si>
    <t>Allan</t>
  </si>
  <si>
    <t>Rafael</t>
  </si>
  <si>
    <t>Nicole</t>
  </si>
  <si>
    <t>Rosiane</t>
  </si>
  <si>
    <t>Roberto</t>
  </si>
  <si>
    <t>Simone</t>
  </si>
  <si>
    <t>Alessandra</t>
  </si>
  <si>
    <t>Funcionário</t>
  </si>
  <si>
    <t>Meta</t>
  </si>
  <si>
    <t>Médio</t>
  </si>
  <si>
    <t>Bom</t>
  </si>
  <si>
    <t>Ótimo</t>
  </si>
  <si>
    <t>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</si>
</sst>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0" borderId="0" xfId="2" applyFont="1" applyAlignment="1">
      <alignment horizontal="center"/>
    </xf>
    <xf numFmtId="44" fontId="0" fillId="0" borderId="0" xfId="2" applyFont="1"/>
    <xf numFmtId="0" fontId="0" fillId="3" borderId="1" xfId="0" applyFill="1" applyBorder="1"/>
    <xf numFmtId="44" fontId="0" fillId="3" borderId="1" xfId="2" applyFont="1" applyFill="1" applyBorder="1" applyAlignment="1">
      <alignment horizontal="center"/>
    </xf>
    <xf numFmtId="0" fontId="0" fillId="6" borderId="0" xfId="0" applyFill="1"/>
    <xf numFmtId="44" fontId="0" fillId="6" borderId="0" xfId="2" applyFont="1" applyFill="1" applyAlignment="1">
      <alignment horizontal="center"/>
    </xf>
    <xf numFmtId="0" fontId="3" fillId="0" borderId="0" xfId="0" applyFont="1"/>
    <xf numFmtId="44" fontId="3" fillId="0" borderId="0" xfId="2" applyFont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microsoft.com/office/2011/relationships/chartColorStyle" Target="colors2.xml"/><Relationship Id="rId1" Type="http://schemas.microsoft.com/office/2011/relationships/chartStyle" Target="style2.xml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microsoft.com/office/2011/relationships/chartColorStyle" Target="colors3.xml"/><Relationship Id="rId1" Type="http://schemas.microsoft.com/office/2011/relationships/chartStyle" Target="style3.xml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Professor'!$B$7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9-42A1-BB70-FBE54525A01E}"/>
            </c:ext>
          </c:extLst>
        </c:ser>
        <c:ser>
          <c:idx val="1"/>
          <c:order val="1"/>
          <c:tx>
            <c:strRef>
              <c:f>'Tabela Professor'!$C$7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5000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9-42A1-BB70-FBE54525A01E}"/>
            </c:ext>
          </c:extLst>
        </c:ser>
        <c:ser>
          <c:idx val="2"/>
          <c:order val="2"/>
          <c:tx>
            <c:strRef>
              <c:f>'Tabela Professor'!$D$7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6000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D9-42A1-BB70-FBE54525A01E}"/>
            </c:ext>
          </c:extLst>
        </c:ser>
        <c:ser>
          <c:idx val="3"/>
          <c:order val="3"/>
          <c:tx>
            <c:strRef>
              <c:f>'Tabela Professor'!$E$7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Professor'!$E$8:$E$14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D9-42A1-BB70-FBE54525A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681696"/>
        <c:axId val="1056674208"/>
      </c:barChart>
      <c:lineChart>
        <c:grouping val="standard"/>
        <c:varyColors val="0"/>
        <c:ser>
          <c:idx val="4"/>
          <c:order val="4"/>
          <c:tx>
            <c:strRef>
              <c:f>'Tabela Professor'!$B$7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D9-42A1-BB70-FBE54525A01E}"/>
            </c:ext>
          </c:extLst>
        </c:ser>
        <c:ser>
          <c:idx val="5"/>
          <c:order val="5"/>
          <c:tx>
            <c:strRef>
              <c:f>'Tabela Professor'!$C$7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5000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D9-42A1-BB70-FBE54525A01E}"/>
            </c:ext>
          </c:extLst>
        </c:ser>
        <c:ser>
          <c:idx val="6"/>
          <c:order val="6"/>
          <c:tx>
            <c:strRef>
              <c:f>'Tabela Professor'!$D$7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6000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D9-42A1-BB70-FBE54525A01E}"/>
            </c:ext>
          </c:extLst>
        </c:ser>
        <c:ser>
          <c:idx val="7"/>
          <c:order val="7"/>
          <c:tx>
            <c:strRef>
              <c:f>'Tabela Professor'!$E$7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Professor'!$E$8:$E$14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D9-42A1-BB70-FBE54525A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81696"/>
        <c:axId val="1056674208"/>
      </c:lineChart>
      <c:catAx>
        <c:axId val="10566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674208"/>
        <c:crosses val="autoZero"/>
        <c:auto val="1"/>
        <c:lblAlgn val="ctr"/>
        <c:lblOffset val="100"/>
        <c:noMultiLvlLbl val="0"/>
      </c:catAx>
      <c:valAx>
        <c:axId val="10566742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5668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Professor'!$B$7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0-4A7A-862D-F18DBE7CC668}"/>
            </c:ext>
          </c:extLst>
        </c:ser>
        <c:ser>
          <c:idx val="1"/>
          <c:order val="1"/>
          <c:tx>
            <c:strRef>
              <c:f>'Tabela Professor'!$C$7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5000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0-4A7A-862D-F18DBE7CC668}"/>
            </c:ext>
          </c:extLst>
        </c:ser>
        <c:ser>
          <c:idx val="2"/>
          <c:order val="2"/>
          <c:tx>
            <c:strRef>
              <c:f>'Tabela Professor'!$D$7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6000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0-4A7A-862D-F18DBE7CC668}"/>
            </c:ext>
          </c:extLst>
        </c:ser>
        <c:ser>
          <c:idx val="3"/>
          <c:order val="3"/>
          <c:tx>
            <c:strRef>
              <c:f>'Tabela Professor'!$E$7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Professor'!$E$8:$E$14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E0-4A7A-862D-F18DBE7C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681696"/>
        <c:axId val="1056674208"/>
      </c:barChart>
      <c:lineChart>
        <c:grouping val="standard"/>
        <c:varyColors val="0"/>
        <c:ser>
          <c:idx val="4"/>
          <c:order val="4"/>
          <c:tx>
            <c:strRef>
              <c:f>'Tabela Professor'!$B$7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E0-4A7A-862D-F18DBE7CC668}"/>
            </c:ext>
          </c:extLst>
        </c:ser>
        <c:ser>
          <c:idx val="5"/>
          <c:order val="5"/>
          <c:tx>
            <c:strRef>
              <c:f>'Tabela Professor'!$C$7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5000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E0-4A7A-862D-F18DBE7CC668}"/>
            </c:ext>
          </c:extLst>
        </c:ser>
        <c:ser>
          <c:idx val="6"/>
          <c:order val="6"/>
          <c:tx>
            <c:strRef>
              <c:f>'Tabela Professor'!$D$7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6000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E0-4A7A-862D-F18DBE7CC668}"/>
            </c:ext>
          </c:extLst>
        </c:ser>
        <c:ser>
          <c:idx val="7"/>
          <c:order val="7"/>
          <c:tx>
            <c:strRef>
              <c:f>'Tabela Professor'!$E$7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Professor'!$E$8:$E$14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E0-4A7A-862D-F18DBE7C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81696"/>
        <c:axId val="1056674208"/>
      </c:lineChart>
      <c:catAx>
        <c:axId val="10566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674208"/>
        <c:crosses val="autoZero"/>
        <c:auto val="1"/>
        <c:lblAlgn val="ctr"/>
        <c:lblOffset val="100"/>
        <c:noMultiLvlLbl val="0"/>
      </c:catAx>
      <c:valAx>
        <c:axId val="10566742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5668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Professor'!$B$7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4-4EC7-91FC-A2B251EDBF2B}"/>
            </c:ext>
          </c:extLst>
        </c:ser>
        <c:ser>
          <c:idx val="1"/>
          <c:order val="1"/>
          <c:tx>
            <c:strRef>
              <c:f>'Tabela Professor'!$C$7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5000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4-4EC7-91FC-A2B251EDBF2B}"/>
            </c:ext>
          </c:extLst>
        </c:ser>
        <c:ser>
          <c:idx val="2"/>
          <c:order val="2"/>
          <c:tx>
            <c:strRef>
              <c:f>'Tabela Professor'!$D$7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6000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54-4EC7-91FC-A2B251EDBF2B}"/>
            </c:ext>
          </c:extLst>
        </c:ser>
        <c:ser>
          <c:idx val="3"/>
          <c:order val="3"/>
          <c:tx>
            <c:strRef>
              <c:f>'Tabela Professor'!$E$7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</c:errBars>
          <c:cat>
            <c:strRef>
              <c:f>'Tabela Professor'!$A$8:$A$14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Professor'!$E$8:$E$14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4-4EC7-91FC-A2B251EDB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681696"/>
        <c:axId val="1056674208"/>
      </c:barChart>
      <c:lineChart>
        <c:grouping val="standard"/>
        <c:varyColors val="0"/>
        <c:ser>
          <c:idx val="4"/>
          <c:order val="4"/>
          <c:tx>
            <c:strRef>
              <c:f>'Tabela Professor'!$B$7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54-4EC7-91FC-A2B251EDBF2B}"/>
            </c:ext>
          </c:extLst>
        </c:ser>
        <c:ser>
          <c:idx val="5"/>
          <c:order val="5"/>
          <c:tx>
            <c:strRef>
              <c:f>'Tabela Professor'!$C$7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5000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54-4EC7-91FC-A2B251EDBF2B}"/>
            </c:ext>
          </c:extLst>
        </c:ser>
        <c:ser>
          <c:idx val="6"/>
          <c:order val="6"/>
          <c:tx>
            <c:strRef>
              <c:f>'Tabela Professor'!$D$7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Professor'!$D$8:$D$14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6000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54-4EC7-91FC-A2B251EDBF2B}"/>
            </c:ext>
          </c:extLst>
        </c:ser>
        <c:ser>
          <c:idx val="7"/>
          <c:order val="7"/>
          <c:tx>
            <c:strRef>
              <c:f>'Tabela Professor'!$E$7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Professor'!$E$8:$E$14</c:f>
              <c:numCache>
                <c:formatCode>_("R$"* #,##0.00_);_("R$"* \(#,##0.00\);_("R$"* "-"??_);_(@_)</c:formatCode>
                <c:ptCount val="7"/>
                <c:pt idx="0">
                  <c:v>9000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54-4EC7-91FC-A2B251EDB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81696"/>
        <c:axId val="1056674208"/>
      </c:lineChart>
      <c:catAx>
        <c:axId val="10566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674208"/>
        <c:crosses val="autoZero"/>
        <c:auto val="1"/>
        <c:lblAlgn val="ctr"/>
        <c:lblOffset val="100"/>
        <c:noMultiLvlLbl val="0"/>
      </c:catAx>
      <c:valAx>
        <c:axId val="105667420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5668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Aluno'!$B$7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4-4B4E-BD26-2CF91C504FC0}"/>
            </c:ext>
          </c:extLst>
        </c:ser>
        <c:ser>
          <c:idx val="1"/>
          <c:order val="1"/>
          <c:tx>
            <c:strRef>
              <c:f>'Tabela Aluno'!$C$7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4-4B4E-BD26-2CF91C504FC0}"/>
            </c:ext>
          </c:extLst>
        </c:ser>
        <c:ser>
          <c:idx val="2"/>
          <c:order val="2"/>
          <c:tx>
            <c:strRef>
              <c:f>'Tabela Aluno'!$D$7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Aluno'!$D$8:$D$14</c:f>
              <c:numCache>
                <c:formatCode>_("R$"* #,##0.00_);_("R$"* \(#,##0.00\);_("R$"* "-"??_);_(@_)</c:formatCode>
                <c:ptCount val="7"/>
                <c:pt idx="0">
                  <c:v>7000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4-4B4E-BD26-2CF91C504FC0}"/>
            </c:ext>
          </c:extLst>
        </c:ser>
        <c:ser>
          <c:idx val="3"/>
          <c:order val="3"/>
          <c:tx>
            <c:strRef>
              <c:f>'Tabela Aluno'!$E$7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E4-4B4E-BD26-2CF91C50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049775"/>
        <c:axId val="366050255"/>
      </c:barChart>
      <c:lineChart>
        <c:grouping val="standard"/>
        <c:varyColors val="0"/>
        <c:ser>
          <c:idx val="4"/>
          <c:order val="4"/>
          <c:tx>
            <c:strRef>
              <c:f>'Tabela Aluno'!$B$7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E4-4B4E-BD26-2CF91C504FC0}"/>
            </c:ext>
          </c:extLst>
        </c:ser>
        <c:ser>
          <c:idx val="5"/>
          <c:order val="5"/>
          <c:tx>
            <c:strRef>
              <c:f>'Tabela Aluno'!$C$7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E4-4B4E-BD26-2CF91C504FC0}"/>
            </c:ext>
          </c:extLst>
        </c:ser>
        <c:ser>
          <c:idx val="6"/>
          <c:order val="6"/>
          <c:tx>
            <c:strRef>
              <c:f>'Tabela Aluno'!$D$7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Aluno'!$D$8:$D$14</c:f>
              <c:numCache>
                <c:formatCode>_("R$"* #,##0.00_);_("R$"* \(#,##0.00\);_("R$"* "-"??_);_(@_)</c:formatCode>
                <c:ptCount val="7"/>
                <c:pt idx="0">
                  <c:v>7000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E4-4B4E-BD26-2CF91C504FC0}"/>
            </c:ext>
          </c:extLst>
        </c:ser>
        <c:ser>
          <c:idx val="7"/>
          <c:order val="7"/>
          <c:tx>
            <c:strRef>
              <c:f>'Tabela Aluno'!$E$7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E4-4B4E-BD26-2CF91C50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049775"/>
        <c:axId val="366050255"/>
      </c:lineChart>
      <c:catAx>
        <c:axId val="3660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0255"/>
        <c:crosses val="autoZero"/>
        <c:auto val="1"/>
        <c:lblAlgn val="ctr"/>
        <c:lblOffset val="100"/>
        <c:noMultiLvlLbl val="0"/>
      </c:catAx>
      <c:valAx>
        <c:axId val="3660502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604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Aluno'!$B$7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6-44C8-BA52-49292EC09FB7}"/>
            </c:ext>
          </c:extLst>
        </c:ser>
        <c:ser>
          <c:idx val="1"/>
          <c:order val="1"/>
          <c:tx>
            <c:strRef>
              <c:f>'Tabela Aluno'!$C$7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6-44C8-BA52-49292EC09FB7}"/>
            </c:ext>
          </c:extLst>
        </c:ser>
        <c:ser>
          <c:idx val="2"/>
          <c:order val="2"/>
          <c:tx>
            <c:strRef>
              <c:f>'Tabela Aluno'!$D$7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Aluno'!$D$8:$D$14</c:f>
              <c:numCache>
                <c:formatCode>_("R$"* #,##0.00_);_("R$"* \(#,##0.00\);_("R$"* "-"??_);_(@_)</c:formatCode>
                <c:ptCount val="7"/>
                <c:pt idx="0">
                  <c:v>7000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6-44C8-BA52-49292EC09FB7}"/>
            </c:ext>
          </c:extLst>
        </c:ser>
        <c:ser>
          <c:idx val="3"/>
          <c:order val="3"/>
          <c:tx>
            <c:strRef>
              <c:f>'Tabela Aluno'!$E$7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86-44C8-BA52-49292EC09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049775"/>
        <c:axId val="366050255"/>
      </c:barChart>
      <c:lineChart>
        <c:grouping val="standard"/>
        <c:varyColors val="0"/>
        <c:ser>
          <c:idx val="4"/>
          <c:order val="4"/>
          <c:tx>
            <c:strRef>
              <c:f>'Tabela Aluno'!$B$7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86-44C8-BA52-49292EC09FB7}"/>
            </c:ext>
          </c:extLst>
        </c:ser>
        <c:ser>
          <c:idx val="5"/>
          <c:order val="5"/>
          <c:tx>
            <c:strRef>
              <c:f>'Tabela Aluno'!$C$7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86-44C8-BA52-49292EC09FB7}"/>
            </c:ext>
          </c:extLst>
        </c:ser>
        <c:ser>
          <c:idx val="6"/>
          <c:order val="6"/>
          <c:tx>
            <c:strRef>
              <c:f>'Tabela Aluno'!$D$7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Aluno'!$D$8:$D$14</c:f>
              <c:numCache>
                <c:formatCode>_("R$"* #,##0.00_);_("R$"* \(#,##0.00\);_("R$"* "-"??_);_(@_)</c:formatCode>
                <c:ptCount val="7"/>
                <c:pt idx="0">
                  <c:v>7000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86-44C8-BA52-49292EC09FB7}"/>
            </c:ext>
          </c:extLst>
        </c:ser>
        <c:ser>
          <c:idx val="7"/>
          <c:order val="7"/>
          <c:tx>
            <c:strRef>
              <c:f>'Tabela Aluno'!$E$7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86-44C8-BA52-49292EC09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049775"/>
        <c:axId val="366050255"/>
      </c:lineChart>
      <c:catAx>
        <c:axId val="3660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0255"/>
        <c:crosses val="autoZero"/>
        <c:auto val="1"/>
        <c:lblAlgn val="ctr"/>
        <c:lblOffset val="100"/>
        <c:noMultiLvlLbl val="0"/>
      </c:catAx>
      <c:valAx>
        <c:axId val="3660502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604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Aluno'!$B$7</c:f>
              <c:strCache>
                <c:ptCount val="1"/>
                <c:pt idx="0">
                  <c:v>Vermelho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6-42F9-95D3-2B1C2A4B7F8C}"/>
            </c:ext>
          </c:extLst>
        </c:ser>
        <c:ser>
          <c:idx val="1"/>
          <c:order val="1"/>
          <c:tx>
            <c:strRef>
              <c:f>'Tabela Aluno'!$C$7</c:f>
              <c:strCache>
                <c:ptCount val="1"/>
                <c:pt idx="0">
                  <c:v>Amarelo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FFFF0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6-42F9-95D3-2B1C2A4B7F8C}"/>
            </c:ext>
          </c:extLst>
        </c:ser>
        <c:ser>
          <c:idx val="2"/>
          <c:order val="2"/>
          <c:tx>
            <c:strRef>
              <c:f>'Tabela Aluno'!$D$7</c:f>
              <c:strCache>
                <c:ptCount val="1"/>
                <c:pt idx="0">
                  <c:v>Azul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Aluno'!$D$8:$D$14</c:f>
              <c:numCache>
                <c:formatCode>_("R$"* #,##0.00_);_("R$"* \(#,##0.00\);_("R$"* "-"??_);_(@_)</c:formatCode>
                <c:ptCount val="7"/>
                <c:pt idx="0">
                  <c:v>7000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6-42F9-95D3-2B1C2A4B7F8C}"/>
            </c:ext>
          </c:extLst>
        </c:ser>
        <c:ser>
          <c:idx val="3"/>
          <c:order val="3"/>
          <c:tx>
            <c:strRef>
              <c:f>'Tabela Aluno'!$E$7</c:f>
              <c:strCache>
                <c:ptCount val="1"/>
                <c:pt idx="0">
                  <c:v>Verde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25400" cap="flat" cmpd="sng" algn="ctr">
                <a:solidFill>
                  <a:srgbClr val="00B050"/>
                </a:solidFill>
                <a:round/>
              </a:ln>
              <a:effectLst/>
            </c:spPr>
          </c:errBars>
          <c:cat>
            <c:strRef>
              <c:f>'Tabela Aluno'!$A$8:$A$14</c:f>
              <c:strCache>
                <c:ptCount val="7"/>
                <c:pt idx="0">
                  <c:v>Allan</c:v>
                </c:pt>
                <c:pt idx="1">
                  <c:v>Rafael</c:v>
                </c:pt>
                <c:pt idx="2">
                  <c:v>Nicole</c:v>
                </c:pt>
                <c:pt idx="3">
                  <c:v>Rosiane</c:v>
                </c:pt>
                <c:pt idx="4">
                  <c:v>Roberto</c:v>
                </c:pt>
                <c:pt idx="5">
                  <c:v>Simone</c:v>
                </c:pt>
                <c:pt idx="6">
                  <c:v>Alessandra</c:v>
                </c:pt>
              </c:strCache>
            </c:strRef>
          </c:cat>
          <c:val>
            <c:numRef>
              <c:f>'Tabela Aluno'!$E$8:$E$14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6-42F9-95D3-2B1C2A4B7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6049775"/>
        <c:axId val="366050255"/>
      </c:barChart>
      <c:lineChart>
        <c:grouping val="standard"/>
        <c:varyColors val="0"/>
        <c:ser>
          <c:idx val="4"/>
          <c:order val="4"/>
          <c:tx>
            <c:strRef>
              <c:f>'Tabela Aluno'!$B$7</c:f>
              <c:strCache>
                <c:ptCount val="1"/>
                <c:pt idx="0">
                  <c:v>Vermelho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Aluno'!$B$8:$B$14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86-42F9-95D3-2B1C2A4B7F8C}"/>
            </c:ext>
          </c:extLst>
        </c:ser>
        <c:ser>
          <c:idx val="5"/>
          <c:order val="5"/>
          <c:tx>
            <c:strRef>
              <c:f>'Tabela Aluno'!$C$7</c:f>
              <c:strCache>
                <c:ptCount val="1"/>
                <c:pt idx="0">
                  <c:v>Amarelo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Aluno'!$C$8:$C$14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3000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86-42F9-95D3-2B1C2A4B7F8C}"/>
            </c:ext>
          </c:extLst>
        </c:ser>
        <c:ser>
          <c:idx val="6"/>
          <c:order val="6"/>
          <c:tx>
            <c:strRef>
              <c:f>'Tabela Aluno'!$D$7</c:f>
              <c:strCache>
                <c:ptCount val="1"/>
                <c:pt idx="0">
                  <c:v>Azul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Aluno'!$D$8:$D$14</c:f>
              <c:numCache>
                <c:formatCode>_("R$"* #,##0.00_);_("R$"* \(#,##0.00\);_("R$"* "-"??_);_(@_)</c:formatCode>
                <c:ptCount val="7"/>
                <c:pt idx="0">
                  <c:v>7000</c:v>
                </c:pt>
                <c:pt idx="1">
                  <c:v>6000</c:v>
                </c:pt>
                <c:pt idx="2">
                  <c:v>#N/A</c:v>
                </c:pt>
                <c:pt idx="3">
                  <c:v>5500</c:v>
                </c:pt>
                <c:pt idx="4">
                  <c:v>6100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86-42F9-95D3-2B1C2A4B7F8C}"/>
            </c:ext>
          </c:extLst>
        </c:ser>
        <c:ser>
          <c:idx val="7"/>
          <c:order val="7"/>
          <c:tx>
            <c:strRef>
              <c:f>'Tabela Aluno'!$E$7</c:f>
              <c:strCache>
                <c:ptCount val="1"/>
                <c:pt idx="0">
                  <c:v>Verde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Aluno'!$E$8:$E$14</c:f>
              <c:numCache>
                <c:formatCode>_("R$"* #,##0.00_);_("R$"* \(#,##0.00\);_("R$"* "-"??_);_(@_)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9000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86-42F9-95D3-2B1C2A4B7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6049775"/>
        <c:axId val="366050255"/>
      </c:lineChart>
      <c:catAx>
        <c:axId val="3660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0255"/>
        <c:crosses val="autoZero"/>
        <c:auto val="1"/>
        <c:lblAlgn val="ctr"/>
        <c:lblOffset val="100"/>
        <c:noMultiLvlLbl val="0"/>
      </c:catAx>
      <c:valAx>
        <c:axId val="3660502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6604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165100</xdr:rowOff>
    </xdr:from>
    <xdr:to>
      <xdr:col>1</xdr:col>
      <xdr:colOff>603250</xdr:colOff>
      <xdr:row>5</xdr:row>
      <xdr:rowOff>31750</xdr:rowOff>
    </xdr:to>
    <xdr:pic>
      <xdr:nvPicPr>
        <xdr:cNvPr id="4" name="Graphic 3" descr="Sad face with solid fill">
          <a:extLst>
            <a:ext uri="{FF2B5EF4-FFF2-40B4-BE49-F238E27FC236}">
              <a16:creationId xmlns:a16="http://schemas.microsoft.com/office/drawing/2014/main" id="{B9054E16-722F-4E81-BC72-7653D70B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200" y="34925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2</xdr:col>
      <xdr:colOff>29350</xdr:colOff>
      <xdr:row>1</xdr:row>
      <xdr:rowOff>165100</xdr:rowOff>
    </xdr:from>
    <xdr:to>
      <xdr:col>2</xdr:col>
      <xdr:colOff>632600</xdr:colOff>
      <xdr:row>5</xdr:row>
      <xdr:rowOff>31750</xdr:rowOff>
    </xdr:to>
    <xdr:pic>
      <xdr:nvPicPr>
        <xdr:cNvPr id="6" name="Graphic 5" descr="Neutral face with solid fill">
          <a:extLst>
            <a:ext uri="{FF2B5EF4-FFF2-40B4-BE49-F238E27FC236}">
              <a16:creationId xmlns:a16="http://schemas.microsoft.com/office/drawing/2014/main" id="{179634B1-E4EE-41D9-94DB-6CC2DD6C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96200" y="34925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4</xdr:col>
      <xdr:colOff>20600</xdr:colOff>
      <xdr:row>1</xdr:row>
      <xdr:rowOff>158750</xdr:rowOff>
    </xdr:from>
    <xdr:to>
      <xdr:col>4</xdr:col>
      <xdr:colOff>623850</xdr:colOff>
      <xdr:row>5</xdr:row>
      <xdr:rowOff>25400</xdr:rowOff>
    </xdr:to>
    <xdr:pic>
      <xdr:nvPicPr>
        <xdr:cNvPr id="8" name="Graphic 7" descr="Smiling face with solid fill">
          <a:extLst>
            <a:ext uri="{FF2B5EF4-FFF2-40B4-BE49-F238E27FC236}">
              <a16:creationId xmlns:a16="http://schemas.microsoft.com/office/drawing/2014/main" id="{C3797E89-7E46-431C-AC1A-24A4587E2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706650" y="34290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3</xdr:col>
      <xdr:colOff>24550</xdr:colOff>
      <xdr:row>1</xdr:row>
      <xdr:rowOff>165100</xdr:rowOff>
    </xdr:from>
    <xdr:to>
      <xdr:col>3</xdr:col>
      <xdr:colOff>627800</xdr:colOff>
      <xdr:row>5</xdr:row>
      <xdr:rowOff>31750</xdr:rowOff>
    </xdr:to>
    <xdr:pic>
      <xdr:nvPicPr>
        <xdr:cNvPr id="10" name="Graphic 9" descr="Grinning face with solid fill">
          <a:extLst>
            <a:ext uri="{FF2B5EF4-FFF2-40B4-BE49-F238E27FC236}">
              <a16:creationId xmlns:a16="http://schemas.microsoft.com/office/drawing/2014/main" id="{B11FEE83-4770-4A79-A4E2-CBCC6D567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53350" y="349250"/>
          <a:ext cx="603250" cy="60325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2</xdr:row>
      <xdr:rowOff>23812</xdr:rowOff>
    </xdr:from>
    <xdr:to>
      <xdr:col>13</xdr:col>
      <xdr:colOff>314325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52D2B5-7AD6-4FD9-AD56-949781C13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5</xdr:row>
      <xdr:rowOff>180975</xdr:rowOff>
    </xdr:from>
    <xdr:to>
      <xdr:col>8</xdr:col>
      <xdr:colOff>800100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7F18F9-1711-4FF7-8723-997809AFD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5</xdr:row>
      <xdr:rowOff>171450</xdr:rowOff>
    </xdr:from>
    <xdr:to>
      <xdr:col>16</xdr:col>
      <xdr:colOff>209550</xdr:colOff>
      <xdr:row>20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2A9C5C-E7E5-4481-A950-5D7D86904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13</xdr:row>
      <xdr:rowOff>0</xdr:rowOff>
    </xdr:from>
    <xdr:to>
      <xdr:col>0</xdr:col>
      <xdr:colOff>571500</xdr:colOff>
      <xdr:row>15</xdr:row>
      <xdr:rowOff>28575</xdr:rowOff>
    </xdr:to>
    <xdr:sp macro="" textlink="">
      <xdr:nvSpPr>
        <xdr:cNvPr id="4" name="Smiley 3">
          <a:extLst>
            <a:ext uri="{FF2B5EF4-FFF2-40B4-BE49-F238E27FC236}">
              <a16:creationId xmlns:a16="http://schemas.microsoft.com/office/drawing/2014/main" id="{5F5C4080-C505-4DD6-96BD-22C2A8F1BC81}"/>
            </a:ext>
          </a:extLst>
        </xdr:cNvPr>
        <xdr:cNvSpPr/>
      </xdr:nvSpPr>
      <xdr:spPr>
        <a:xfrm>
          <a:off x="123825" y="2524125"/>
          <a:ext cx="447675" cy="409575"/>
        </a:xfrm>
        <a:prstGeom prst="smileyFac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180975</xdr:colOff>
      <xdr:row>13</xdr:row>
      <xdr:rowOff>9525</xdr:rowOff>
    </xdr:from>
    <xdr:to>
      <xdr:col>1</xdr:col>
      <xdr:colOff>533400</xdr:colOff>
      <xdr:row>15</xdr:row>
      <xdr:rowOff>57150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0D0B68F7-F662-44F1-A8D7-2A9E84BF9242}"/>
            </a:ext>
          </a:extLst>
        </xdr:cNvPr>
        <xdr:cNvSpPr/>
      </xdr:nvSpPr>
      <xdr:spPr>
        <a:xfrm>
          <a:off x="790575" y="2533650"/>
          <a:ext cx="352425" cy="4286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790575</xdr:colOff>
      <xdr:row>13</xdr:row>
      <xdr:rowOff>19050</xdr:rowOff>
    </xdr:from>
    <xdr:to>
      <xdr:col>2</xdr:col>
      <xdr:colOff>209550</xdr:colOff>
      <xdr:row>15</xdr:row>
      <xdr:rowOff>38100</xdr:rowOff>
    </xdr:to>
    <xdr:sp macro="" textlink="">
      <xdr:nvSpPr>
        <xdr:cNvPr id="6" name="Coração 5">
          <a:extLst>
            <a:ext uri="{FF2B5EF4-FFF2-40B4-BE49-F238E27FC236}">
              <a16:creationId xmlns:a16="http://schemas.microsoft.com/office/drawing/2014/main" id="{A9133A99-BDDF-4DED-AE9D-7018D5ED17FE}"/>
            </a:ext>
          </a:extLst>
        </xdr:cNvPr>
        <xdr:cNvSpPr/>
      </xdr:nvSpPr>
      <xdr:spPr>
        <a:xfrm>
          <a:off x="1400175" y="2543175"/>
          <a:ext cx="371475" cy="400050"/>
        </a:xfrm>
        <a:prstGeom prst="hear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457200</xdr:colOff>
      <xdr:row>13</xdr:row>
      <xdr:rowOff>76200</xdr:rowOff>
    </xdr:from>
    <xdr:to>
      <xdr:col>2</xdr:col>
      <xdr:colOff>1000125</xdr:colOff>
      <xdr:row>14</xdr:row>
      <xdr:rowOff>142875</xdr:rowOff>
    </xdr:to>
    <xdr:sp macro="" textlink="">
      <xdr:nvSpPr>
        <xdr:cNvPr id="7" name="Seta: da Esquerda para a Direita 6">
          <a:extLst>
            <a:ext uri="{FF2B5EF4-FFF2-40B4-BE49-F238E27FC236}">
              <a16:creationId xmlns:a16="http://schemas.microsoft.com/office/drawing/2014/main" id="{D8845C1D-1B1D-4B3E-A46F-527D6DA0F035}"/>
            </a:ext>
          </a:extLst>
        </xdr:cNvPr>
        <xdr:cNvSpPr/>
      </xdr:nvSpPr>
      <xdr:spPr>
        <a:xfrm>
          <a:off x="2019300" y="2600325"/>
          <a:ext cx="542925" cy="257175"/>
        </a:xfrm>
        <a:prstGeom prst="leftRightArrow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165100</xdr:rowOff>
    </xdr:from>
    <xdr:to>
      <xdr:col>1</xdr:col>
      <xdr:colOff>603250</xdr:colOff>
      <xdr:row>5</xdr:row>
      <xdr:rowOff>31750</xdr:rowOff>
    </xdr:to>
    <xdr:pic>
      <xdr:nvPicPr>
        <xdr:cNvPr id="2" name="Graphic 3" descr="Sad face with solid fill">
          <a:extLst>
            <a:ext uri="{FF2B5EF4-FFF2-40B4-BE49-F238E27FC236}">
              <a16:creationId xmlns:a16="http://schemas.microsoft.com/office/drawing/2014/main" id="{9927DDD5-16BF-4F36-BBF8-B9A1D9C00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9150" y="355600"/>
          <a:ext cx="603250" cy="628650"/>
        </a:xfrm>
        <a:prstGeom prst="rect">
          <a:avLst/>
        </a:prstGeom>
      </xdr:spPr>
    </xdr:pic>
    <xdr:clientData/>
  </xdr:twoCellAnchor>
  <xdr:twoCellAnchor editAs="oneCell">
    <xdr:from>
      <xdr:col>2</xdr:col>
      <xdr:colOff>29350</xdr:colOff>
      <xdr:row>1</xdr:row>
      <xdr:rowOff>165100</xdr:rowOff>
    </xdr:from>
    <xdr:to>
      <xdr:col>2</xdr:col>
      <xdr:colOff>632600</xdr:colOff>
      <xdr:row>5</xdr:row>
      <xdr:rowOff>31750</xdr:rowOff>
    </xdr:to>
    <xdr:pic>
      <xdr:nvPicPr>
        <xdr:cNvPr id="3" name="Graphic 5" descr="Neutral face with solid fill">
          <a:extLst>
            <a:ext uri="{FF2B5EF4-FFF2-40B4-BE49-F238E27FC236}">
              <a16:creationId xmlns:a16="http://schemas.microsoft.com/office/drawing/2014/main" id="{BBB5BD27-D84E-4528-BA3F-3A48F6947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34325" y="355600"/>
          <a:ext cx="603250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20600</xdr:colOff>
      <xdr:row>1</xdr:row>
      <xdr:rowOff>158750</xdr:rowOff>
    </xdr:from>
    <xdr:to>
      <xdr:col>4</xdr:col>
      <xdr:colOff>623850</xdr:colOff>
      <xdr:row>5</xdr:row>
      <xdr:rowOff>25400</xdr:rowOff>
    </xdr:to>
    <xdr:pic>
      <xdr:nvPicPr>
        <xdr:cNvPr id="4" name="Graphic 7" descr="Smiling face with solid fill">
          <a:extLst>
            <a:ext uri="{FF2B5EF4-FFF2-40B4-BE49-F238E27FC236}">
              <a16:creationId xmlns:a16="http://schemas.microsoft.com/office/drawing/2014/main" id="{B595B770-A79B-4889-86F2-92A266155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535325" y="349250"/>
          <a:ext cx="603250" cy="628650"/>
        </a:xfrm>
        <a:prstGeom prst="rect">
          <a:avLst/>
        </a:prstGeom>
      </xdr:spPr>
    </xdr:pic>
    <xdr:clientData/>
  </xdr:twoCellAnchor>
  <xdr:twoCellAnchor editAs="oneCell">
    <xdr:from>
      <xdr:col>3</xdr:col>
      <xdr:colOff>24550</xdr:colOff>
      <xdr:row>1</xdr:row>
      <xdr:rowOff>165100</xdr:rowOff>
    </xdr:from>
    <xdr:to>
      <xdr:col>3</xdr:col>
      <xdr:colOff>627800</xdr:colOff>
      <xdr:row>5</xdr:row>
      <xdr:rowOff>31750</xdr:rowOff>
    </xdr:to>
    <xdr:pic>
      <xdr:nvPicPr>
        <xdr:cNvPr id="5" name="Graphic 9" descr="Grinning face with solid fill">
          <a:extLst>
            <a:ext uri="{FF2B5EF4-FFF2-40B4-BE49-F238E27FC236}">
              <a16:creationId xmlns:a16="http://schemas.microsoft.com/office/drawing/2014/main" id="{C390C91F-F1FD-4C8C-BBEA-6CB7223A9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605825" y="355600"/>
          <a:ext cx="603250" cy="62865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</xdr:row>
      <xdr:rowOff>107950</xdr:rowOff>
    </xdr:from>
    <xdr:to>
      <xdr:col>12</xdr:col>
      <xdr:colOff>352425</xdr:colOff>
      <xdr:row>16</xdr:row>
      <xdr:rowOff>88900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E38BBCE-39E2-4524-3B40-EC430B649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5</xdr:row>
      <xdr:rowOff>107950</xdr:rowOff>
    </xdr:from>
    <xdr:to>
      <xdr:col>8</xdr:col>
      <xdr:colOff>819150</xdr:colOff>
      <xdr:row>20</xdr:row>
      <xdr:rowOff>88900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F86A57-3741-4FD8-A001-23AA90BD1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5</xdr:row>
      <xdr:rowOff>120650</xdr:rowOff>
    </xdr:from>
    <xdr:to>
      <xdr:col>16</xdr:col>
      <xdr:colOff>165100</xdr:colOff>
      <xdr:row>20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31646B-E54A-4F43-8A6A-A306AAC01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146050</xdr:colOff>
      <xdr:row>12</xdr:row>
      <xdr:rowOff>12700</xdr:rowOff>
    </xdr:from>
    <xdr:to>
      <xdr:col>1</xdr:col>
      <xdr:colOff>749300</xdr:colOff>
      <xdr:row>15</xdr:row>
      <xdr:rowOff>38100</xdr:rowOff>
    </xdr:to>
    <xdr:sp macro="" textlink="">
      <xdr:nvSpPr>
        <xdr:cNvPr id="4" name="Smiley 3">
          <a:extLst>
            <a:ext uri="{FF2B5EF4-FFF2-40B4-BE49-F238E27FC236}">
              <a16:creationId xmlns:a16="http://schemas.microsoft.com/office/drawing/2014/main" id="{AA44CFE9-2B46-E140-D99D-826C8E792BDB}"/>
            </a:ext>
          </a:extLst>
        </xdr:cNvPr>
        <xdr:cNvSpPr/>
      </xdr:nvSpPr>
      <xdr:spPr>
        <a:xfrm>
          <a:off x="755650" y="2273300"/>
          <a:ext cx="603250" cy="577850"/>
        </a:xfrm>
        <a:prstGeom prst="smileyFac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203200</xdr:colOff>
      <xdr:row>13</xdr:row>
      <xdr:rowOff>76200</xdr:rowOff>
    </xdr:from>
    <xdr:to>
      <xdr:col>2</xdr:col>
      <xdr:colOff>704850</xdr:colOff>
      <xdr:row>17</xdr:row>
      <xdr:rowOff>76200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40323761-780A-B94D-3473-FCD4AD4D9C7D}"/>
            </a:ext>
          </a:extLst>
        </xdr:cNvPr>
        <xdr:cNvSpPr/>
      </xdr:nvSpPr>
      <xdr:spPr>
        <a:xfrm>
          <a:off x="1809750" y="2520950"/>
          <a:ext cx="501650" cy="736600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184150</xdr:colOff>
      <xdr:row>16</xdr:row>
      <xdr:rowOff>133350</xdr:rowOff>
    </xdr:from>
    <xdr:to>
      <xdr:col>1</xdr:col>
      <xdr:colOff>914400</xdr:colOff>
      <xdr:row>20</xdr:row>
      <xdr:rowOff>101600</xdr:rowOff>
    </xdr:to>
    <xdr:sp macro="" textlink="">
      <xdr:nvSpPr>
        <xdr:cNvPr id="6" name="Coração 5">
          <a:extLst>
            <a:ext uri="{FF2B5EF4-FFF2-40B4-BE49-F238E27FC236}">
              <a16:creationId xmlns:a16="http://schemas.microsoft.com/office/drawing/2014/main" id="{DAAF4599-B83E-B7F1-413B-A0011073429C}"/>
            </a:ext>
          </a:extLst>
        </xdr:cNvPr>
        <xdr:cNvSpPr/>
      </xdr:nvSpPr>
      <xdr:spPr>
        <a:xfrm>
          <a:off x="793750" y="3130550"/>
          <a:ext cx="730250" cy="704850"/>
        </a:xfrm>
        <a:prstGeom prst="hear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247650</xdr:colOff>
      <xdr:row>18</xdr:row>
      <xdr:rowOff>152400</xdr:rowOff>
    </xdr:from>
    <xdr:to>
      <xdr:col>3</xdr:col>
      <xdr:colOff>50800</xdr:colOff>
      <xdr:row>21</xdr:row>
      <xdr:rowOff>50800</xdr:rowOff>
    </xdr:to>
    <xdr:sp macro="" textlink="">
      <xdr:nvSpPr>
        <xdr:cNvPr id="7" name="Seta: da Esquerda para a Direita 6">
          <a:extLst>
            <a:ext uri="{FF2B5EF4-FFF2-40B4-BE49-F238E27FC236}">
              <a16:creationId xmlns:a16="http://schemas.microsoft.com/office/drawing/2014/main" id="{E417DF1F-E896-E42D-1886-4091CC529133}"/>
            </a:ext>
          </a:extLst>
        </xdr:cNvPr>
        <xdr:cNvSpPr/>
      </xdr:nvSpPr>
      <xdr:spPr>
        <a:xfrm>
          <a:off x="1854200" y="3517900"/>
          <a:ext cx="1047750" cy="450850"/>
        </a:xfrm>
        <a:prstGeom prst="leftRightArrow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566E-0DFA-43AF-9213-21B43B7CD768}">
  <dimension ref="A3:L14"/>
  <sheetViews>
    <sheetView workbookViewId="0">
      <selection activeCell="C19" sqref="C19"/>
    </sheetView>
  </sheetViews>
  <sheetFormatPr defaultRowHeight="14.5" x14ac:dyDescent="0.35"/>
  <cols>
    <col min="1" max="1" width="12.26953125" customWidth="1"/>
    <col min="2" max="2" width="13.26953125" customWidth="1"/>
    <col min="3" max="3" width="13.1796875" customWidth="1"/>
    <col min="4" max="4" width="14" customWidth="1"/>
    <col min="5" max="5" width="13.81640625" customWidth="1"/>
  </cols>
  <sheetData>
    <row r="3" spans="1:12" x14ac:dyDescent="0.35">
      <c r="I3" s="1"/>
      <c r="J3" s="2"/>
      <c r="K3" s="2"/>
      <c r="L3" s="2"/>
    </row>
    <row r="4" spans="1:12" x14ac:dyDescent="0.35">
      <c r="H4" s="1"/>
    </row>
    <row r="6" spans="1:12" x14ac:dyDescent="0.35">
      <c r="B6" s="1">
        <v>0.25</v>
      </c>
      <c r="C6" s="2">
        <v>0.5</v>
      </c>
      <c r="D6" s="2">
        <v>0.75</v>
      </c>
      <c r="E6" s="2">
        <v>1</v>
      </c>
    </row>
    <row r="7" spans="1:12" x14ac:dyDescent="0.35">
      <c r="A7" t="s">
        <v>12</v>
      </c>
      <c r="B7" s="3" t="s">
        <v>1</v>
      </c>
      <c r="C7" s="4" t="s">
        <v>2</v>
      </c>
      <c r="D7" s="5" t="s">
        <v>3</v>
      </c>
      <c r="E7" s="6" t="s">
        <v>4</v>
      </c>
    </row>
    <row r="8" spans="1:12" x14ac:dyDescent="0.35">
      <c r="A8" t="s">
        <v>5</v>
      </c>
      <c r="B8" s="8" t="e">
        <f>IF(AND(VLOOKUP($A8,Professor!B:C,2,0)/Professor!$G$2&gt;0,VLOOKUP($A8,Professor!B:C,2,0)/Professor!$G$2&lt;=B$6),VLOOKUP($A8,Professor!B:C,2,0),NA())</f>
        <v>#N/A</v>
      </c>
      <c r="C8" s="8" t="e">
        <f>IF(AND(VLOOKUP($A8,Professor!B:C,2,0)/Professor!$G$2&gt;B$6,VLOOKUP($A8,Professor!B:C,2,0)/Professor!$G$2&lt;=C$6),VLOOKUP($A8,Professor!B:C,2,0),NA())</f>
        <v>#N/A</v>
      </c>
      <c r="D8" s="8" t="e">
        <f>IF(AND(VLOOKUP($A8,Professor!B:C,2,0)/Professor!$G$2&gt;C$6,VLOOKUP($A8,Professor!B:C,2,0)/Professor!$G$2&lt;=D$6),VLOOKUP($A8,Professor!B:C,2,0),NA())</f>
        <v>#N/A</v>
      </c>
      <c r="E8" s="8">
        <f>IF(VLOOKUP($A8,Professor!B:C,2,0)/Professor!$G$2&gt;D$6,VLOOKUP($A8,Professor!B:C,2,0),NA())</f>
        <v>9000</v>
      </c>
    </row>
    <row r="9" spans="1:12" x14ac:dyDescent="0.35">
      <c r="A9" t="s">
        <v>6</v>
      </c>
      <c r="B9" s="8" t="e">
        <f>IF(AND(VLOOKUP($A9,Professor!B:C,2,0)/Professor!$G$2&gt;0,VLOOKUP($A9,Professor!B:C,2,0)/Professor!$G$2&lt;=B$6),VLOOKUP($A9,Professor!B:C,2,0),NA())</f>
        <v>#N/A</v>
      </c>
      <c r="C9" s="8" t="e">
        <f>IF(AND(VLOOKUP($A9,Professor!B:C,2,0)/Professor!$G$2&gt;B$6,VLOOKUP($A9,Professor!B:C,2,0)/Professor!$G$2&lt;=C$6),VLOOKUP($A9,Professor!B:C,2,0),NA())</f>
        <v>#N/A</v>
      </c>
      <c r="D9" s="8">
        <f>IF(AND(VLOOKUP($A9,Professor!B:C,2,0)/Professor!$G$2&gt;C$6,VLOOKUP($A9,Professor!B:C,2,0)/Professor!$G$2&lt;=D$6),VLOOKUP($A9,Professor!B:C,2,0),NA())</f>
        <v>6000</v>
      </c>
      <c r="E9" s="8" t="e">
        <f>IF(VLOOKUP($A9,Professor!B:C,2,0)/Professor!$G$2&gt;D$6,VLOOKUP($A9,Professor!B:C,2,0),NA())</f>
        <v>#N/A</v>
      </c>
    </row>
    <row r="10" spans="1:12" x14ac:dyDescent="0.35">
      <c r="A10" t="s">
        <v>7</v>
      </c>
      <c r="B10" s="8" t="e">
        <f>IF(AND(VLOOKUP($A10,Professor!B:C,2,0)/Professor!$G$2&gt;0,VLOOKUP($A10,Professor!B:C,2,0)/Professor!$G$2&lt;=B$6),VLOOKUP($A10,Professor!B:C,2,0),NA())</f>
        <v>#N/A</v>
      </c>
      <c r="C10" s="8">
        <f>IF(AND(VLOOKUP($A10,Professor!B:C,2,0)/Professor!$G$2&gt;B$6,VLOOKUP($A10,Professor!B:C,2,0)/Professor!$G$2&lt;=C$6),VLOOKUP($A10,Professor!B:C,2,0),NA())</f>
        <v>5000</v>
      </c>
      <c r="D10" s="8" t="e">
        <f>IF(AND(VLOOKUP($A10,Professor!B:C,2,0)/Professor!$G$2&gt;C$6,VLOOKUP($A10,Professor!B:C,2,0)/Professor!$G$2&lt;=D$6),VLOOKUP($A10,Professor!B:C,2,0),NA())</f>
        <v>#N/A</v>
      </c>
      <c r="E10" s="8" t="e">
        <f>IF(VLOOKUP($A10,Professor!B:C,2,0)/Professor!$G$2&gt;D$6,VLOOKUP($A10,Professor!B:C,2,0),NA())</f>
        <v>#N/A</v>
      </c>
    </row>
    <row r="11" spans="1:12" x14ac:dyDescent="0.35">
      <c r="A11" t="s">
        <v>8</v>
      </c>
      <c r="B11" s="8" t="e">
        <f>IF(AND(VLOOKUP($A11,Professor!B:C,2,0)/Professor!$G$2&gt;0,VLOOKUP($A11,Professor!B:C,2,0)/Professor!$G$2&lt;=B$6),VLOOKUP($A11,Professor!B:C,2,0),NA())</f>
        <v>#N/A</v>
      </c>
      <c r="C11" s="8" t="e">
        <f>IF(AND(VLOOKUP($A11,Professor!B:C,2,0)/Professor!$G$2&gt;B$6,VLOOKUP($A11,Professor!B:C,2,0)/Professor!$G$2&lt;=C$6),VLOOKUP($A11,Professor!B:C,2,0),NA())</f>
        <v>#N/A</v>
      </c>
      <c r="D11" s="8">
        <f>IF(AND(VLOOKUP($A11,Professor!B:C,2,0)/Professor!$G$2&gt;C$6,VLOOKUP($A11,Professor!B:C,2,0)/Professor!$G$2&lt;=D$6),VLOOKUP($A11,Professor!B:C,2,0),NA())</f>
        <v>5500</v>
      </c>
      <c r="E11" s="8" t="e">
        <f>IF(VLOOKUP($A11,Professor!B:C,2,0)/Professor!$G$2&gt;D$6,VLOOKUP($A11,Professor!B:C,2,0),NA())</f>
        <v>#N/A</v>
      </c>
    </row>
    <row r="12" spans="1:12" x14ac:dyDescent="0.35">
      <c r="A12" t="s">
        <v>9</v>
      </c>
      <c r="B12" s="8" t="e">
        <f>IF(AND(VLOOKUP($A12,Professor!B:C,2,0)/Professor!$G$2&gt;0,VLOOKUP($A12,Professor!B:C,2,0)/Professor!$G$2&lt;=B$6),VLOOKUP($A12,Professor!B:C,2,0),NA())</f>
        <v>#N/A</v>
      </c>
      <c r="C12" s="8" t="e">
        <f>IF(AND(VLOOKUP($A12,Professor!B:C,2,0)/Professor!$G$2&gt;B$6,VLOOKUP($A12,Professor!B:C,2,0)/Professor!$G$2&lt;=C$6),VLOOKUP($A12,Professor!B:C,2,0),NA())</f>
        <v>#N/A</v>
      </c>
      <c r="D12" s="8">
        <f>IF(AND(VLOOKUP($A12,Professor!B:C,2,0)/Professor!$G$2&gt;C$6,VLOOKUP($A12,Professor!B:C,2,0)/Professor!$G$2&lt;=D$6),VLOOKUP($A12,Professor!B:C,2,0),NA())</f>
        <v>6100</v>
      </c>
      <c r="E12" s="8" t="e">
        <f>IF(VLOOKUP($A12,Professor!B:C,2,0)/Professor!$G$2&gt;D$6,VLOOKUP($A12,Professor!B:C,2,0),NA())</f>
        <v>#N/A</v>
      </c>
    </row>
    <row r="13" spans="1:12" x14ac:dyDescent="0.35">
      <c r="A13" t="s">
        <v>10</v>
      </c>
      <c r="B13" s="8" t="e">
        <f>IF(AND(VLOOKUP($A13,Professor!B:C,2,0)/Professor!$G$2&gt;0,VLOOKUP($A13,Professor!B:C,2,0)/Professor!$G$2&lt;=B$6),VLOOKUP($A13,Professor!B:C,2,0),NA())</f>
        <v>#N/A</v>
      </c>
      <c r="C13" s="8" t="e">
        <f>IF(AND(VLOOKUP($A13,Professor!B:C,2,0)/Professor!$G$2&gt;B$6,VLOOKUP($A13,Professor!B:C,2,0)/Professor!$G$2&lt;=C$6),VLOOKUP($A13,Professor!B:C,2,0),NA())</f>
        <v>#N/A</v>
      </c>
      <c r="D13" s="8">
        <f>IF(AND(VLOOKUP($A13,Professor!B:C,2,0)/Professor!$G$2&gt;C$6,VLOOKUP($A13,Professor!B:C,2,0)/Professor!$G$2&lt;=D$6),VLOOKUP($A13,Professor!B:C,2,0),NA())</f>
        <v>6000</v>
      </c>
      <c r="E13" s="8" t="e">
        <f>IF(VLOOKUP($A13,Professor!B:C,2,0)/Professor!$G$2&gt;D$6,VLOOKUP($A13,Professor!B:C,2,0),NA())</f>
        <v>#N/A</v>
      </c>
    </row>
    <row r="14" spans="1:12" x14ac:dyDescent="0.35">
      <c r="A14" t="s">
        <v>11</v>
      </c>
      <c r="B14" s="8">
        <f>IF(AND(VLOOKUP($A14,Professor!B:C,2,0)/Professor!$G$2&gt;0,VLOOKUP($A14,Professor!B:C,2,0)/Professor!$G$2&lt;=B$6),VLOOKUP($A14,Professor!B:C,2,0),NA())</f>
        <v>2500</v>
      </c>
      <c r="C14" s="8" t="e">
        <f>IF(AND(VLOOKUP($A14,Professor!B:C,2,0)/Professor!$G$2&gt;B$6,VLOOKUP($A14,Professor!B:C,2,0)/Professor!$G$2&lt;=C$6),VLOOKUP($A14,Professor!B:C,2,0),NA())</f>
        <v>#N/A</v>
      </c>
      <c r="D14" s="8" t="e">
        <f>IF(AND(VLOOKUP($A14,Professor!B:C,2,0)/Professor!$G$2&gt;C$6,VLOOKUP($A14,Professor!B:C,2,0)/Professor!$G$2&lt;=D$6),VLOOKUP($A14,Professor!B:C,2,0),NA())</f>
        <v>#N/A</v>
      </c>
      <c r="E14" s="8" t="e">
        <f>IF(VLOOKUP($A14,Professor!B:C,2,0)/Professor!$G$2&gt;D$6,VLOOKUP($A14,Professor!B:C,2,0),NA())</f>
        <v>#N/A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3B16-AD8B-4BD8-8824-94A6882E8F1D}">
  <dimension ref="B2:I11"/>
  <sheetViews>
    <sheetView showGridLines="0" workbookViewId="0">
      <selection activeCell="B4" sqref="B4"/>
    </sheetView>
  </sheetViews>
  <sheetFormatPr defaultRowHeight="14.5" x14ac:dyDescent="0.35"/>
  <cols>
    <col min="2" max="2" width="14.26953125" customWidth="1"/>
    <col min="3" max="3" width="17.81640625" style="7" customWidth="1"/>
    <col min="7" max="7" width="18.26953125" bestFit="1" customWidth="1"/>
    <col min="8" max="9" width="13.7265625" customWidth="1"/>
    <col min="14" max="14" width="10.81640625" customWidth="1"/>
  </cols>
  <sheetData>
    <row r="2" spans="2:9" ht="18.5" x14ac:dyDescent="0.45">
      <c r="F2" s="13" t="s">
        <v>13</v>
      </c>
      <c r="G2" s="14">
        <v>10000</v>
      </c>
    </row>
    <row r="4" spans="2:9" x14ac:dyDescent="0.35">
      <c r="B4" s="9" t="s">
        <v>12</v>
      </c>
      <c r="C4" s="10" t="s">
        <v>0</v>
      </c>
      <c r="F4" s="1">
        <v>0.25</v>
      </c>
      <c r="G4" s="2">
        <v>0.5</v>
      </c>
      <c r="H4" s="2">
        <v>0.75</v>
      </c>
      <c r="I4" s="2">
        <v>1</v>
      </c>
    </row>
    <row r="5" spans="2:9" x14ac:dyDescent="0.35">
      <c r="B5" s="11" t="s">
        <v>5</v>
      </c>
      <c r="C5" s="12">
        <v>9000</v>
      </c>
      <c r="F5" s="3" t="s">
        <v>17</v>
      </c>
      <c r="G5" s="4" t="s">
        <v>14</v>
      </c>
      <c r="H5" s="5" t="s">
        <v>15</v>
      </c>
      <c r="I5" s="6" t="s">
        <v>16</v>
      </c>
    </row>
    <row r="6" spans="2:9" x14ac:dyDescent="0.35">
      <c r="B6" s="11" t="s">
        <v>6</v>
      </c>
      <c r="C6" s="12">
        <v>6000</v>
      </c>
    </row>
    <row r="7" spans="2:9" x14ac:dyDescent="0.35">
      <c r="B7" s="11" t="s">
        <v>7</v>
      </c>
      <c r="C7" s="12">
        <v>5000</v>
      </c>
    </row>
    <row r="8" spans="2:9" x14ac:dyDescent="0.35">
      <c r="B8" s="11" t="s">
        <v>8</v>
      </c>
      <c r="C8" s="12">
        <v>5500</v>
      </c>
    </row>
    <row r="9" spans="2:9" x14ac:dyDescent="0.35">
      <c r="B9" s="11" t="s">
        <v>9</v>
      </c>
      <c r="C9" s="12">
        <v>6100</v>
      </c>
    </row>
    <row r="10" spans="2:9" x14ac:dyDescent="0.35">
      <c r="B10" s="11" t="s">
        <v>10</v>
      </c>
      <c r="C10" s="12">
        <v>6000</v>
      </c>
    </row>
    <row r="11" spans="2:9" x14ac:dyDescent="0.35">
      <c r="B11" s="11" t="s">
        <v>11</v>
      </c>
      <c r="C11" s="12">
        <v>2500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F8F8-B9A2-45A7-91C8-7A0ADBB82186}">
  <dimension ref="A3:L14"/>
  <sheetViews>
    <sheetView workbookViewId="0">
      <selection activeCell="E16" sqref="E16"/>
    </sheetView>
  </sheetViews>
  <sheetFormatPr defaultRowHeight="14.5" x14ac:dyDescent="0.35"/>
  <cols>
    <col min="1" max="1" width="12.26953125" customWidth="1"/>
    <col min="2" max="2" width="13.26953125" customWidth="1"/>
    <col min="3" max="3" width="13.1796875" customWidth="1"/>
    <col min="4" max="4" width="14" customWidth="1"/>
    <col min="5" max="5" width="13.81640625" customWidth="1"/>
  </cols>
  <sheetData>
    <row r="3" spans="1:12" x14ac:dyDescent="0.35">
      <c r="I3" s="1"/>
      <c r="J3" s="2"/>
      <c r="K3" s="2"/>
      <c r="L3" s="2"/>
    </row>
    <row r="4" spans="1:12" x14ac:dyDescent="0.35">
      <c r="H4" s="1"/>
    </row>
    <row r="6" spans="1:12" x14ac:dyDescent="0.35">
      <c r="B6" s="1">
        <v>0.25</v>
      </c>
      <c r="C6" s="2">
        <v>0.5</v>
      </c>
      <c r="D6" s="2">
        <v>0.75</v>
      </c>
      <c r="E6" s="2">
        <v>1</v>
      </c>
    </row>
    <row r="7" spans="1:12" x14ac:dyDescent="0.35">
      <c r="A7" t="s">
        <v>12</v>
      </c>
      <c r="B7" s="3" t="s">
        <v>1</v>
      </c>
      <c r="C7" s="4" t="s">
        <v>2</v>
      </c>
      <c r="D7" s="5" t="s">
        <v>3</v>
      </c>
      <c r="E7" s="6" t="s">
        <v>4</v>
      </c>
    </row>
    <row r="8" spans="1:12" x14ac:dyDescent="0.35">
      <c r="A8" t="s">
        <v>5</v>
      </c>
      <c r="B8" s="8" t="e">
        <f>IF(AND(VLOOKUP($A8,Aluno!B:C,2,0)/Aluno!$G$2&gt;0,VLOOKUP($A8,Aluno!B:C,2,0)/Aluno!$G$2&lt;=B$6),VLOOKUP($A8,Aluno!B:C,2,0),NA())</f>
        <v>#N/A</v>
      </c>
      <c r="C8" s="8" t="e">
        <f>IF(AND(VLOOKUP($A8,Aluno!B:C,2,0)/Aluno!$G$2&gt;B$6,VLOOKUP($A8,Aluno!B:C,2,0)/Aluno!$G$2&lt;=C$6),VLOOKUP($A8,Aluno!B:C,2,0),NA())</f>
        <v>#N/A</v>
      </c>
      <c r="D8" s="8">
        <f>IF(AND(VLOOKUP($A8,Aluno!B:C,2,0)/Aluno!$G$2&gt;C$6,VLOOKUP($A8,Aluno!B:C,2,0)/Aluno!$G$2&lt;=D$6),VLOOKUP($A8,Aluno!B:C,2,0),NA())</f>
        <v>7000</v>
      </c>
      <c r="E8" s="8" t="e">
        <f>IF(VLOOKUP($A8,Aluno!B:C,2,0)/Aluno!$G$2&gt;D$6,VLOOKUP($A8,Aluno!B:C,2,0),NA())</f>
        <v>#N/A</v>
      </c>
    </row>
    <row r="9" spans="1:12" x14ac:dyDescent="0.35">
      <c r="A9" t="s">
        <v>6</v>
      </c>
      <c r="B9" s="8" t="e">
        <f>IF(AND(VLOOKUP($A9,Aluno!B:C,2,0)/Aluno!$G$2&gt;0,VLOOKUP($A9,Aluno!B:C,2,0)/Aluno!$G$2&lt;=B$6),VLOOKUP($A9,Aluno!B:C,2,0),NA())</f>
        <v>#N/A</v>
      </c>
      <c r="C9" s="8" t="e">
        <f>IF(AND(VLOOKUP($A9,Aluno!B:C,2,0)/Aluno!$G$2&gt;B$6,VLOOKUP($A9,Aluno!B:C,2,0)/Aluno!$G$2&lt;=C$6),VLOOKUP($A9,Aluno!B:C,2,0),NA())</f>
        <v>#N/A</v>
      </c>
      <c r="D9" s="8">
        <f>IF(AND(VLOOKUP($A9,Aluno!B:C,2,0)/Aluno!$G$2&gt;C$6,VLOOKUP($A9,Aluno!B:C,2,0)/Aluno!$G$2&lt;=D$6),VLOOKUP($A9,Aluno!B:C,2,0),NA())</f>
        <v>6000</v>
      </c>
      <c r="E9" s="8" t="e">
        <f>IF(VLOOKUP($A9,Aluno!B:C,2,0)/Aluno!$G$2&gt;D$6,VLOOKUP($A9,Aluno!B:C,2,0),NA())</f>
        <v>#N/A</v>
      </c>
    </row>
    <row r="10" spans="1:12" x14ac:dyDescent="0.35">
      <c r="A10" t="s">
        <v>7</v>
      </c>
      <c r="B10" s="8" t="e">
        <f>IF(AND(VLOOKUP($A10,Aluno!B:C,2,0)/Aluno!$G$2&gt;0,VLOOKUP($A10,Aluno!B:C,2,0)/Aluno!$G$2&lt;=B$6),VLOOKUP($A10,Aluno!B:C,2,0),NA())</f>
        <v>#N/A</v>
      </c>
      <c r="C10" s="8" t="e">
        <f>IF(AND(VLOOKUP($A10,Aluno!B:C,2,0)/Aluno!$G$2&gt;B$6,VLOOKUP($A10,Aluno!B:C,2,0)/Aluno!$G$2&lt;=C$6),VLOOKUP($A10,Aluno!B:C,2,0),NA())</f>
        <v>#N/A</v>
      </c>
      <c r="D10" s="8" t="e">
        <f>IF(AND(VLOOKUP($A10,Aluno!B:C,2,0)/Aluno!$G$2&gt;C$6,VLOOKUP($A10,Aluno!B:C,2,0)/Aluno!$G$2&lt;=D$6),VLOOKUP($A10,Aluno!B:C,2,0),NA())</f>
        <v>#N/A</v>
      </c>
      <c r="E10" s="8">
        <f>IF(VLOOKUP($A10,Aluno!B:C,2,0)/Aluno!$G$2&gt;D$6,VLOOKUP($A10,Aluno!B:C,2,0),NA())</f>
        <v>9000</v>
      </c>
    </row>
    <row r="11" spans="1:12" x14ac:dyDescent="0.35">
      <c r="A11" t="s">
        <v>8</v>
      </c>
      <c r="B11" s="8" t="e">
        <f>IF(AND(VLOOKUP($A11,Aluno!B:C,2,0)/Aluno!$G$2&gt;0,VLOOKUP($A11,Aluno!B:C,2,0)/Aluno!$G$2&lt;=B$6),VLOOKUP($A11,Aluno!B:C,2,0),NA())</f>
        <v>#N/A</v>
      </c>
      <c r="C11" s="8" t="e">
        <f>IF(AND(VLOOKUP($A11,Aluno!B:C,2,0)/Aluno!$G$2&gt;B$6,VLOOKUP($A11,Aluno!B:C,2,0)/Aluno!$G$2&lt;=C$6),VLOOKUP($A11,Aluno!B:C,2,0),NA())</f>
        <v>#N/A</v>
      </c>
      <c r="D11" s="8">
        <f>IF(AND(VLOOKUP($A11,Aluno!B:C,2,0)/Aluno!$G$2&gt;C$6,VLOOKUP($A11,Aluno!B:C,2,0)/Aluno!$G$2&lt;=D$6),VLOOKUP($A11,Aluno!B:C,2,0),NA())</f>
        <v>5500</v>
      </c>
      <c r="E11" s="8" t="e">
        <f>IF(VLOOKUP($A11,Aluno!B:C,2,0)/Aluno!$G$2&gt;D$6,VLOOKUP($A11,Aluno!B:C,2,0),NA())</f>
        <v>#N/A</v>
      </c>
    </row>
    <row r="12" spans="1:12" x14ac:dyDescent="0.35">
      <c r="A12" t="s">
        <v>9</v>
      </c>
      <c r="B12" s="8" t="e">
        <f>IF(AND(VLOOKUP($A12,Aluno!B:C,2,0)/Aluno!$G$2&gt;0,VLOOKUP($A12,Aluno!B:C,2,0)/Aluno!$G$2&lt;=B$6),VLOOKUP($A12,Aluno!B:C,2,0),NA())</f>
        <v>#N/A</v>
      </c>
      <c r="C12" s="8" t="e">
        <f>IF(AND(VLOOKUP($A12,Aluno!B:C,2,0)/Aluno!$G$2&gt;B$6,VLOOKUP($A12,Aluno!B:C,2,0)/Aluno!$G$2&lt;=C$6),VLOOKUP($A12,Aluno!B:C,2,0),NA())</f>
        <v>#N/A</v>
      </c>
      <c r="D12" s="8">
        <f>IF(AND(VLOOKUP($A12,Aluno!B:C,2,0)/Aluno!$G$2&gt;C$6,VLOOKUP($A12,Aluno!B:C,2,0)/Aluno!$G$2&lt;=D$6),VLOOKUP($A12,Aluno!B:C,2,0),NA())</f>
        <v>6100</v>
      </c>
      <c r="E12" s="8" t="e">
        <f>IF(VLOOKUP($A12,Aluno!B:C,2,0)/Aluno!$G$2&gt;D$6,VLOOKUP($A12,Aluno!B:C,2,0),NA())</f>
        <v>#N/A</v>
      </c>
    </row>
    <row r="13" spans="1:12" x14ac:dyDescent="0.35">
      <c r="A13" t="s">
        <v>10</v>
      </c>
      <c r="B13" s="8" t="e">
        <f>IF(AND(VLOOKUP($A13,Aluno!B:C,2,0)/Aluno!$G$2&gt;0,VLOOKUP($A13,Aluno!B:C,2,0)/Aluno!$G$2&lt;=B$6),VLOOKUP($A13,Aluno!B:C,2,0),NA())</f>
        <v>#N/A</v>
      </c>
      <c r="C13" s="8">
        <f>IF(AND(VLOOKUP($A13,Aluno!B:C,2,0)/Aluno!$G$2&gt;B$6,VLOOKUP($A13,Aluno!B:C,2,0)/Aluno!$G$2&lt;=C$6),VLOOKUP($A13,Aluno!B:C,2,0),NA())</f>
        <v>3000</v>
      </c>
      <c r="D13" s="8" t="e">
        <f>IF(AND(VLOOKUP($A13,Aluno!B:C,2,0)/Aluno!$G$2&gt;C$6,VLOOKUP($A13,Aluno!B:C,2,0)/Aluno!$G$2&lt;=D$6),VLOOKUP($A13,Aluno!B:C,2,0),NA())</f>
        <v>#N/A</v>
      </c>
      <c r="E13" s="8" t="e">
        <f>IF(VLOOKUP($A13,Aluno!B:C,2,0)/Aluno!$G$2&gt;D$6,VLOOKUP($A13,Aluno!B:C,2,0),NA())</f>
        <v>#N/A</v>
      </c>
    </row>
    <row r="14" spans="1:12" x14ac:dyDescent="0.35">
      <c r="A14" t="s">
        <v>11</v>
      </c>
      <c r="B14" s="8">
        <f>IF(AND(VLOOKUP($A14,Aluno!B:C,2,0)/Aluno!$G$2&gt;0,VLOOKUP($A14,Aluno!B:C,2,0)/Aluno!$G$2&lt;=B$6),VLOOKUP($A14,Aluno!B:C,2,0),NA())</f>
        <v>2500</v>
      </c>
      <c r="C14" s="8" t="e">
        <f>IF(AND(VLOOKUP($A14,Aluno!B:C,2,0)/Aluno!$G$2&gt;B$6,VLOOKUP($A14,Aluno!B:C,2,0)/Aluno!$G$2&lt;=C$6),VLOOKUP($A14,Aluno!B:C,2,0),NA())</f>
        <v>#N/A</v>
      </c>
      <c r="D14" s="8" t="e">
        <f>IF(AND(VLOOKUP($A14,Aluno!B:C,2,0)/Aluno!$G$2&gt;C$6,VLOOKUP($A14,Aluno!B:C,2,0)/Aluno!$G$2&lt;=D$6),VLOOKUP($A14,Aluno!B:C,2,0),NA())</f>
        <v>#N/A</v>
      </c>
      <c r="E14" s="8" t="e">
        <f>IF(VLOOKUP($A14,Aluno!B:C,2,0)/Aluno!$G$2&gt;D$6,VLOOKUP($A14,Aluno!B:C,2,0),NA())</f>
        <v>#N/A</v>
      </c>
    </row>
  </sheetData>
  <pageMargins left="0.7" right="0.7" top="0.75" bottom="0.75" header="0.3" footer="0.3"/>
  <headerFooter>
    <oddHeader>&amp;C&amp;"Arial"&amp;8&amp;K000000 INTERNAL&amp;1#_x000D_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E9EA-311B-4764-9E01-15000B4EC82F}">
  <dimension ref="B2:I11"/>
  <sheetViews>
    <sheetView showGridLines="0" tabSelected="1" workbookViewId="0">
      <selection activeCell="C6" sqref="C6"/>
    </sheetView>
  </sheetViews>
  <sheetFormatPr defaultRowHeight="14.5" x14ac:dyDescent="0.35"/>
  <cols>
    <col min="2" max="2" width="14.26953125" customWidth="1"/>
    <col min="3" max="3" width="17.81640625" style="7" customWidth="1"/>
    <col min="7" max="7" width="18.26953125" bestFit="1" customWidth="1"/>
    <col min="8" max="9" width="13.7265625" customWidth="1"/>
    <col min="14" max="14" width="10.81640625" customWidth="1"/>
  </cols>
  <sheetData>
    <row r="2" spans="2:9" ht="18.5" x14ac:dyDescent="0.45">
      <c r="F2" s="13" t="s">
        <v>13</v>
      </c>
      <c r="G2" s="14">
        <v>10000</v>
      </c>
    </row>
    <row r="4" spans="2:9" x14ac:dyDescent="0.35">
      <c r="B4" s="9" t="s">
        <v>12</v>
      </c>
      <c r="C4" s="10" t="s">
        <v>0</v>
      </c>
      <c r="F4" s="1">
        <v>0.25</v>
      </c>
      <c r="G4" s="2">
        <v>0.5</v>
      </c>
      <c r="H4" s="2">
        <v>0.75</v>
      </c>
      <c r="I4" s="2">
        <v>1</v>
      </c>
    </row>
    <row r="5" spans="2:9" x14ac:dyDescent="0.35">
      <c r="B5" s="11" t="s">
        <v>5</v>
      </c>
      <c r="C5" s="12">
        <v>7000</v>
      </c>
      <c r="F5" s="3" t="s">
        <v>17</v>
      </c>
      <c r="G5" s="4" t="s">
        <v>14</v>
      </c>
      <c r="H5" s="5" t="s">
        <v>15</v>
      </c>
      <c r="I5" s="6" t="s">
        <v>16</v>
      </c>
    </row>
    <row r="6" spans="2:9" x14ac:dyDescent="0.35">
      <c r="B6" s="11" t="s">
        <v>6</v>
      </c>
      <c r="C6" s="12">
        <v>6000</v>
      </c>
    </row>
    <row r="7" spans="2:9" x14ac:dyDescent="0.35">
      <c r="B7" s="11" t="s">
        <v>7</v>
      </c>
      <c r="C7" s="12">
        <v>9000</v>
      </c>
    </row>
    <row r="8" spans="2:9" x14ac:dyDescent="0.35">
      <c r="B8" s="11" t="s">
        <v>8</v>
      </c>
      <c r="C8" s="12">
        <v>5500</v>
      </c>
    </row>
    <row r="9" spans="2:9" x14ac:dyDescent="0.35">
      <c r="B9" s="11" t="s">
        <v>9</v>
      </c>
      <c r="C9" s="12">
        <v>6100</v>
      </c>
    </row>
    <row r="10" spans="2:9" x14ac:dyDescent="0.35">
      <c r="B10" s="11" t="s">
        <v>10</v>
      </c>
      <c r="C10" s="12">
        <v>3000</v>
      </c>
    </row>
    <row r="11" spans="2:9" x14ac:dyDescent="0.35">
      <c r="B11" s="11" t="s">
        <v>11</v>
      </c>
      <c r="C11" s="12">
        <v>2500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Professor</vt:lpstr>
      <vt:lpstr>Professor</vt:lpstr>
      <vt:lpstr>Tabela Aluno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2021-08-18T13:39:51Z</dcterms:created>
  <dcterms:modified xsi:type="dcterms:W3CDTF">2026-07-17T22:08:23Z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2026-07-17T21:39:09Z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38f5e8a4-f4fa-47e9-aee1-6b0f90f873e0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
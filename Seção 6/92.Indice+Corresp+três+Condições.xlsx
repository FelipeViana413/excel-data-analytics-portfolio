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5" documentId="13_ncr:1_{C6AD4ED1-C45C-46FD-9E4D-3162B8F572BE}" xr6:coauthVersionLast="47" xr6:coauthVersionMax="47" xr10:uidLastSave="{7F18CA7A-F285-417E-B7FC-2F60938F4AAC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 a="1"/>
  <c r="E8" i="3" s="1"/>
  <c r="E9" i="3" a="1"/>
  <c r="E9" i="3" s="1"/>
  <c r="E10" i="3" a="1"/>
  <c r="E10" i="3" s="1"/>
  <c r="E7" i="3" a="1"/>
  <c r="E7" i="3" s="1"/>
  <c r="E8" i="1" a="1"/>
  <c r="E8" i="1" s="1"/>
  <c r="E9" i="1" a="1"/>
  <c r="E9" i="1" s="1"/>
  <c r="E10" i="1" a="1"/>
  <c r="E10" i="1" s="1"/>
  <c r="E7" i="1" a="1"/>
  <c r="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<sst xmlns="http://schemas.openxmlformats.org/spreadsheetml/2006/main" count="136" uniqueCount="26">
  <si>
    <t>Cliente</t>
  </si>
  <si>
    <t>Produto</t>
  </si>
  <si>
    <t>Valor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</si>
  <si>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</si>
  <si>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</si>
  <si>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</si>
  <si>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</si>
  <si>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</si>
  <si>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</si>
  <si>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</si>
  <si>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</si>
  <si>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</si>
  <si>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</si>
  <si>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</si>
  <si>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</si>
  <si>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</si>
  <si>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</si>
  <si>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</si>
  <si>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</si>
  <si>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</si>
  <si>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>ÍNDICE CORRESP três condições</t>
  </si>
  <si>
    <t>Sexo</t>
  </si>
  <si>
    <t>Feminino</t>
  </si>
  <si>
    <t>Masculino</t>
  </si>
  <si>
    <t>=INDEX($I$7:$L$21;MATCH(B7&amp;C7&amp;D7;$I$7:$I$21&amp;$K$7:$K$21&amp;$L$7:$L$21;0);2)</t>
  </si>
  <si>
    <t>Fórmula em 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</si>
</sst>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B2:L21"/>
  <sheetViews>
    <sheetView zoomScaleNormal="100" workbookViewId="0">
      <selection activeCell="B6" sqref="B6"/>
    </sheetView>
  </sheetViews>
  <sheetFormatPr defaultRowHeight="14.5" x14ac:dyDescent="0.35"/>
  <cols>
    <col min="1" max="1" width="4.81640625" customWidth="1"/>
    <col min="2" max="2" width="16.54296875" customWidth="1"/>
    <col min="3" max="3" width="16.453125" customWidth="1"/>
    <col min="4" max="4" width="23.81640625" style="1" customWidth="1"/>
    <col min="5" max="5" width="12.54296875" customWidth="1"/>
    <col min="6" max="7" width="7.54296875" customWidth="1"/>
    <col min="8" max="8" width="7.54296875" style="1" customWidth="1"/>
    <col min="9" max="9" width="15.7265625" customWidth="1"/>
    <col min="10" max="10" width="15.453125" style="1" customWidth="1"/>
    <col min="11" max="11" width="15.7265625" customWidth="1"/>
    <col min="12" max="12" width="35.1796875" customWidth="1"/>
  </cols>
  <sheetData>
    <row r="2" spans="2:12" ht="15.5" x14ac:dyDescent="0.35">
      <c r="B2" s="2" t="s">
        <v>20</v>
      </c>
      <c r="I2" t="s">
        <v>25</v>
      </c>
    </row>
    <row r="3" spans="2:12" x14ac:dyDescent="0.35">
      <c r="I3" s="11" t="s">
        <v>24</v>
      </c>
    </row>
    <row r="6" spans="2:12" x14ac:dyDescent="0.35">
      <c r="B6" s="3" t="s">
        <v>0</v>
      </c>
      <c r="C6" s="7" t="s">
        <v>21</v>
      </c>
      <c r="D6" s="3" t="s">
        <v>1</v>
      </c>
      <c r="E6" s="5" t="s">
        <v>2</v>
      </c>
      <c r="I6" s="7" t="s">
        <v>0</v>
      </c>
      <c r="J6" s="10" t="s">
        <v>2</v>
      </c>
      <c r="K6" s="7" t="s">
        <v>21</v>
      </c>
      <c r="L6" s="7" t="s">
        <v>1</v>
      </c>
    </row>
    <row r="7" spans="2:12" x14ac:dyDescent="0.35">
      <c r="B7" s="4" t="s">
        <v>3</v>
      </c>
      <c r="C7" s="8" t="s">
        <v>22</v>
      </c>
      <c r="D7" s="4" t="s">
        <v>4</v>
      </c>
      <c r="E7" s="6">
        <f t="array" ref="E7">INDEX($I$7:$L$21,MATCH(B7&amp;C7&amp;D7,$I$7:$I$21&amp;$K$7:$K$21&amp;$L$7:$L$21,0),2)</f>
        <v>89.99</v>
      </c>
      <c r="I7" s="8" t="s">
        <v>3</v>
      </c>
      <c r="J7" s="9">
        <v>89.99</v>
      </c>
      <c r="K7" s="8" t="s">
        <v>22</v>
      </c>
      <c r="L7" s="8" t="s">
        <v>4</v>
      </c>
    </row>
    <row r="8" spans="2:12" x14ac:dyDescent="0.35">
      <c r="B8" t="s">
        <v>12</v>
      </c>
      <c r="C8" s="8" t="s">
        <v>22</v>
      </c>
      <c r="D8" t="s">
        <v>13</v>
      </c>
      <c r="E8" s="6">
        <f t="array" ref="E8">INDEX($I$7:$L$21,MATCH(B8&amp;C8&amp;D8,$I$7:$I$21&amp;$K$7:$K$21&amp;$L$7:$L$21,0),2)</f>
        <v>148.56</v>
      </c>
      <c r="I8" s="8" t="s">
        <v>3</v>
      </c>
      <c r="J8" s="9">
        <v>69.989999999999995</v>
      </c>
      <c r="K8" s="8" t="s">
        <v>22</v>
      </c>
      <c r="L8" s="8" t="s">
        <v>5</v>
      </c>
    </row>
    <row r="9" spans="2:12" x14ac:dyDescent="0.35">
      <c r="B9" t="s">
        <v>16</v>
      </c>
      <c r="C9" s="8" t="s">
        <v>23</v>
      </c>
      <c r="D9" t="s">
        <v>17</v>
      </c>
      <c r="E9" s="6">
        <f t="array" ref="E9">INDEX($I$7:$L$21,MATCH(B9&amp;C9&amp;D9,$I$7:$I$21&amp;$K$7:$K$21&amp;$L$7:$L$21,0),2)</f>
        <v>46.9</v>
      </c>
      <c r="I9" s="8" t="s">
        <v>16</v>
      </c>
      <c r="J9" s="9">
        <v>153.4</v>
      </c>
      <c r="K9" s="8" t="s">
        <v>23</v>
      </c>
      <c r="L9" s="8" t="s">
        <v>19</v>
      </c>
    </row>
    <row r="10" spans="2:12" x14ac:dyDescent="0.35">
      <c r="B10" t="s">
        <v>3</v>
      </c>
      <c r="C10" s="8" t="s">
        <v>22</v>
      </c>
      <c r="D10" t="s">
        <v>5</v>
      </c>
      <c r="E10" s="6">
        <f t="array" ref="E10">INDEX($I$7:$L$21,MATCH(B10&amp;C10&amp;D10,$I$7:$I$21&amp;$K$7:$K$21&amp;$L$7:$L$21,0),2)</f>
        <v>69.989999999999995</v>
      </c>
      <c r="I10" s="8" t="s">
        <v>12</v>
      </c>
      <c r="J10" s="9">
        <v>148.56</v>
      </c>
      <c r="K10" s="8" t="s">
        <v>22</v>
      </c>
      <c r="L10" s="8" t="s">
        <v>13</v>
      </c>
    </row>
    <row r="11" spans="2:12" x14ac:dyDescent="0.35">
      <c r="I11" s="8" t="s">
        <v>3</v>
      </c>
      <c r="J11" s="9">
        <v>146.13999999999999</v>
      </c>
      <c r="K11" s="8" t="s">
        <v>22</v>
      </c>
      <c r="L11" s="8" t="s">
        <v>6</v>
      </c>
    </row>
    <row r="12" spans="2:12" x14ac:dyDescent="0.35">
      <c r="I12" s="8" t="s">
        <v>12</v>
      </c>
      <c r="J12" s="9">
        <v>224.14</v>
      </c>
      <c r="K12" s="8" t="s">
        <v>22</v>
      </c>
      <c r="L12" s="8" t="s">
        <v>18</v>
      </c>
    </row>
    <row r="13" spans="2:12" x14ac:dyDescent="0.35">
      <c r="I13" s="8" t="s">
        <v>16</v>
      </c>
      <c r="J13" s="9">
        <v>150.5</v>
      </c>
      <c r="K13" s="8" t="s">
        <v>23</v>
      </c>
      <c r="L13" s="8" t="s">
        <v>7</v>
      </c>
    </row>
    <row r="14" spans="2:12" x14ac:dyDescent="0.35">
      <c r="I14" s="8" t="s">
        <v>3</v>
      </c>
      <c r="J14" s="9">
        <v>248.73</v>
      </c>
      <c r="K14" s="8" t="s">
        <v>22</v>
      </c>
      <c r="L14" s="8" t="s">
        <v>8</v>
      </c>
    </row>
    <row r="15" spans="2:12" x14ac:dyDescent="0.35">
      <c r="I15" s="8" t="s">
        <v>3</v>
      </c>
      <c r="J15" s="9">
        <v>116.52</v>
      </c>
      <c r="K15" s="8" t="s">
        <v>22</v>
      </c>
      <c r="L15" s="8" t="s">
        <v>14</v>
      </c>
    </row>
    <row r="16" spans="2:12" x14ac:dyDescent="0.35">
      <c r="I16" s="8" t="s">
        <v>12</v>
      </c>
      <c r="J16" s="9">
        <v>59.9</v>
      </c>
      <c r="K16" s="8" t="s">
        <v>22</v>
      </c>
      <c r="L16" s="8" t="s">
        <v>9</v>
      </c>
    </row>
    <row r="17" spans="9:12" x14ac:dyDescent="0.35">
      <c r="I17" s="8" t="s">
        <v>16</v>
      </c>
      <c r="J17" s="9">
        <v>46.9</v>
      </c>
      <c r="K17" s="8" t="s">
        <v>23</v>
      </c>
      <c r="L17" s="8" t="s">
        <v>17</v>
      </c>
    </row>
    <row r="18" spans="9:12" x14ac:dyDescent="0.35">
      <c r="I18" s="8" t="s">
        <v>3</v>
      </c>
      <c r="J18" s="9">
        <v>41.9</v>
      </c>
      <c r="K18" s="8" t="s">
        <v>22</v>
      </c>
      <c r="L18" s="8" t="s">
        <v>15</v>
      </c>
    </row>
    <row r="19" spans="9:12" x14ac:dyDescent="0.35">
      <c r="I19" s="8" t="s">
        <v>3</v>
      </c>
      <c r="J19" s="9">
        <v>81.900000000000006</v>
      </c>
      <c r="K19" s="8" t="s">
        <v>22</v>
      </c>
      <c r="L19" s="8" t="s">
        <v>19</v>
      </c>
    </row>
    <row r="20" spans="9:12" x14ac:dyDescent="0.35">
      <c r="I20" s="8" t="s">
        <v>12</v>
      </c>
      <c r="J20" s="9">
        <v>55.9</v>
      </c>
      <c r="K20" s="8" t="s">
        <v>22</v>
      </c>
      <c r="L20" s="8" t="s">
        <v>10</v>
      </c>
    </row>
    <row r="21" spans="9:12" x14ac:dyDescent="0.35">
      <c r="I21" s="8" t="s">
        <v>16</v>
      </c>
      <c r="J21" s="9">
        <v>89.9</v>
      </c>
      <c r="K21" s="8" t="s">
        <v>23</v>
      </c>
      <c r="L21" s="8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B2:L21"/>
  <sheetViews>
    <sheetView tabSelected="1" workbookViewId="0">
      <selection activeCell="D3" sqref="D3"/>
    </sheetView>
  </sheetViews>
  <sheetFormatPr defaultRowHeight="14.5" x14ac:dyDescent="0.35"/>
  <cols>
    <col min="1" max="1" width="4.81640625" customWidth="1"/>
    <col min="2" max="2" width="16.54296875" customWidth="1"/>
    <col min="3" max="3" width="16.453125" customWidth="1"/>
    <col min="4" max="4" width="23.81640625" style="1" customWidth="1"/>
    <col min="5" max="5" width="12.54296875" customWidth="1"/>
    <col min="6" max="7" width="7.54296875" customWidth="1"/>
    <col min="8" max="8" width="7.54296875" style="1" customWidth="1"/>
    <col min="9" max="9" width="15.7265625" customWidth="1"/>
    <col min="10" max="10" width="15.453125" style="1" customWidth="1"/>
    <col min="11" max="11" width="15.7265625" customWidth="1"/>
    <col min="12" max="12" width="35.1796875" customWidth="1"/>
  </cols>
  <sheetData>
    <row r="2" spans="2:12" ht="15.5" x14ac:dyDescent="0.35">
      <c r="B2" s="2" t="s">
        <v>20</v>
      </c>
      <c r="I2" t="s">
        <v>25</v>
      </c>
    </row>
    <row r="3" spans="2:12" x14ac:dyDescent="0.35">
      <c r="I3" s="11" t="s">
        <v>24</v>
      </c>
    </row>
    <row r="6" spans="2:12" x14ac:dyDescent="0.35">
      <c r="B6" s="3" t="s">
        <v>0</v>
      </c>
      <c r="C6" s="7" t="s">
        <v>21</v>
      </c>
      <c r="D6" s="3" t="s">
        <v>1</v>
      </c>
      <c r="E6" s="5" t="s">
        <v>2</v>
      </c>
      <c r="I6" s="7" t="s">
        <v>0</v>
      </c>
      <c r="J6" s="10" t="s">
        <v>2</v>
      </c>
      <c r="K6" s="7" t="s">
        <v>21</v>
      </c>
      <c r="L6" s="7" t="s">
        <v>1</v>
      </c>
    </row>
    <row r="7" spans="2:12" x14ac:dyDescent="0.35">
      <c r="B7" s="4" t="s">
        <v>3</v>
      </c>
      <c r="C7" s="8" t="s">
        <v>22</v>
      </c>
      <c r="D7" s="4" t="s">
        <v>4</v>
      </c>
      <c r="E7" s="6" cm="1">
        <f t="array" ref="E7">INDEX($I$7:$L$21,MATCH(B7&amp;C7&amp;D7,$I$7:$I$21&amp;$K$7:$K$21&amp;$L$7:$L$21,0),2)</f>
        <v>89.99</v>
      </c>
      <c r="I7" s="8" t="s">
        <v>3</v>
      </c>
      <c r="J7" s="9">
        <v>89.99</v>
      </c>
      <c r="K7" s="8" t="s">
        <v>22</v>
      </c>
      <c r="L7" s="8" t="s">
        <v>4</v>
      </c>
    </row>
    <row r="8" spans="2:12" x14ac:dyDescent="0.35">
      <c r="B8" t="s">
        <v>12</v>
      </c>
      <c r="C8" s="8" t="s">
        <v>22</v>
      </c>
      <c r="D8" t="s">
        <v>13</v>
      </c>
      <c r="E8" s="6" cm="1">
        <f t="array" ref="E8">INDEX($I$7:$L$21,MATCH(B8&amp;C8&amp;D8,$I$7:$I$21&amp;$K$7:$K$21&amp;$L$7:$L$21,0),2)</f>
        <v>148.56</v>
      </c>
      <c r="I8" s="8" t="s">
        <v>3</v>
      </c>
      <c r="J8" s="9">
        <v>69.989999999999995</v>
      </c>
      <c r="K8" s="8" t="s">
        <v>22</v>
      </c>
      <c r="L8" s="8" t="s">
        <v>5</v>
      </c>
    </row>
    <row r="9" spans="2:12" x14ac:dyDescent="0.35">
      <c r="B9" t="s">
        <v>16</v>
      </c>
      <c r="C9" s="8" t="s">
        <v>23</v>
      </c>
      <c r="D9" t="s">
        <v>17</v>
      </c>
      <c r="E9" s="6" cm="1">
        <f t="array" ref="E9">INDEX($I$7:$L$21,MATCH(B9&amp;C9&amp;D9,$I$7:$I$21&amp;$K$7:$K$21&amp;$L$7:$L$21,0),2)</f>
        <v>46.9</v>
      </c>
      <c r="I9" s="8" t="s">
        <v>16</v>
      </c>
      <c r="J9" s="9">
        <v>153.4</v>
      </c>
      <c r="K9" s="8" t="s">
        <v>23</v>
      </c>
      <c r="L9" s="8" t="s">
        <v>19</v>
      </c>
    </row>
    <row r="10" spans="2:12" x14ac:dyDescent="0.35">
      <c r="B10" t="s">
        <v>3</v>
      </c>
      <c r="C10" s="8" t="s">
        <v>22</v>
      </c>
      <c r="D10" t="s">
        <v>5</v>
      </c>
      <c r="E10" s="6" cm="1">
        <f t="array" ref="E10">INDEX($I$7:$L$21,MATCH(B10&amp;C10&amp;D10,$I$7:$I$21&amp;$K$7:$K$21&amp;$L$7:$L$21,0),2)</f>
        <v>69.989999999999995</v>
      </c>
      <c r="I10" s="8" t="s">
        <v>12</v>
      </c>
      <c r="J10" s="9">
        <v>148.56</v>
      </c>
      <c r="K10" s="8" t="s">
        <v>22</v>
      </c>
      <c r="L10" s="8" t="s">
        <v>13</v>
      </c>
    </row>
    <row r="11" spans="2:12" x14ac:dyDescent="0.35">
      <c r="I11" s="8" t="s">
        <v>3</v>
      </c>
      <c r="J11" s="9">
        <v>146.13999999999999</v>
      </c>
      <c r="K11" s="8" t="s">
        <v>22</v>
      </c>
      <c r="L11" s="8" t="s">
        <v>6</v>
      </c>
    </row>
    <row r="12" spans="2:12" x14ac:dyDescent="0.35">
      <c r="I12" s="8" t="s">
        <v>12</v>
      </c>
      <c r="J12" s="9">
        <v>224.14</v>
      </c>
      <c r="K12" s="8" t="s">
        <v>22</v>
      </c>
      <c r="L12" s="8" t="s">
        <v>18</v>
      </c>
    </row>
    <row r="13" spans="2:12" x14ac:dyDescent="0.35">
      <c r="I13" s="8" t="s">
        <v>16</v>
      </c>
      <c r="J13" s="9">
        <v>150.5</v>
      </c>
      <c r="K13" s="8" t="s">
        <v>23</v>
      </c>
      <c r="L13" s="8" t="s">
        <v>7</v>
      </c>
    </row>
    <row r="14" spans="2:12" x14ac:dyDescent="0.35">
      <c r="I14" s="8" t="s">
        <v>3</v>
      </c>
      <c r="J14" s="9">
        <v>248.73</v>
      </c>
      <c r="K14" s="8" t="s">
        <v>22</v>
      </c>
      <c r="L14" s="8" t="s">
        <v>8</v>
      </c>
    </row>
    <row r="15" spans="2:12" x14ac:dyDescent="0.35">
      <c r="I15" s="8" t="s">
        <v>3</v>
      </c>
      <c r="J15" s="9">
        <v>116.52</v>
      </c>
      <c r="K15" s="8" t="s">
        <v>22</v>
      </c>
      <c r="L15" s="8" t="s">
        <v>14</v>
      </c>
    </row>
    <row r="16" spans="2:12" x14ac:dyDescent="0.35">
      <c r="I16" s="8" t="s">
        <v>12</v>
      </c>
      <c r="J16" s="9">
        <v>59.9</v>
      </c>
      <c r="K16" s="8" t="s">
        <v>22</v>
      </c>
      <c r="L16" s="8" t="s">
        <v>9</v>
      </c>
    </row>
    <row r="17" spans="9:12" x14ac:dyDescent="0.35">
      <c r="I17" s="8" t="s">
        <v>16</v>
      </c>
      <c r="J17" s="9">
        <v>46.9</v>
      </c>
      <c r="K17" s="8" t="s">
        <v>23</v>
      </c>
      <c r="L17" s="8" t="s">
        <v>17</v>
      </c>
    </row>
    <row r="18" spans="9:12" x14ac:dyDescent="0.35">
      <c r="I18" s="8" t="s">
        <v>3</v>
      </c>
      <c r="J18" s="9">
        <v>41.9</v>
      </c>
      <c r="K18" s="8" t="s">
        <v>22</v>
      </c>
      <c r="L18" s="8" t="s">
        <v>15</v>
      </c>
    </row>
    <row r="19" spans="9:12" x14ac:dyDescent="0.35">
      <c r="I19" s="8" t="s">
        <v>3</v>
      </c>
      <c r="J19" s="9">
        <v>81.900000000000006</v>
      </c>
      <c r="K19" s="8" t="s">
        <v>22</v>
      </c>
      <c r="L19" s="8" t="s">
        <v>19</v>
      </c>
    </row>
    <row r="20" spans="9:12" x14ac:dyDescent="0.35">
      <c r="I20" s="8" t="s">
        <v>12</v>
      </c>
      <c r="J20" s="9">
        <v>55.9</v>
      </c>
      <c r="K20" s="8" t="s">
        <v>22</v>
      </c>
      <c r="L20" s="8" t="s">
        <v>10</v>
      </c>
    </row>
    <row r="21" spans="9:12" x14ac:dyDescent="0.35">
      <c r="I21" s="8" t="s">
        <v>16</v>
      </c>
      <c r="J21" s="9">
        <v>89.9</v>
      </c>
      <c r="K21" s="8" t="s">
        <v>23</v>
      </c>
      <c r="L21" s="8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2026-05-11T18:03:04Z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d2ef99bb-3525-450c-851e-3383fc2ad176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
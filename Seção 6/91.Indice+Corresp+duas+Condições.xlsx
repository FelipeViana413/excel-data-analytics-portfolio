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16" documentId="13_ncr:1_{92D90C4E-C683-4DB4-9D5C-C140F69A4DF0}" xr6:coauthVersionLast="47" xr6:coauthVersionMax="47" xr10:uidLastSave="{96276E0B-23D3-4825-A949-B6FE759339D6}"/>
  <bookViews>
    <workbookView xWindow="-110" yWindow="-110" windowWidth="19420" windowHeight="11500" activeTab="1" xr2:uid="{1D135085-162F-4F6A-83EE-95534B59CC74}"/>
  </bookViews>
  <sheets>
    <sheet name="Professor" sheetId="1" r:id="rId1"/>
    <sheet name="Alun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 a="1"/>
  <c r="D8" i="3" s="1"/>
  <c r="D9" i="3" a="1"/>
  <c r="D9" i="3" s="1"/>
  <c r="D10" i="3" a="1"/>
  <c r="D10" i="3" s="1"/>
  <c r="D7" i="3" a="1"/>
  <c r="D7" i="3" s="1"/>
  <c r="D8" i="1" a="1"/>
  <c r="D8" i="1" s="1"/>
  <c r="D9" i="1" a="1"/>
  <c r="D9" i="1" s="1"/>
  <c r="D10" i="1" a="1"/>
  <c r="D10" i="1" s="1"/>
  <c r="D7" i="1" a="1"/>
  <c r="D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<sst xmlns="http://schemas.openxmlformats.org/spreadsheetml/2006/main" count="94" uniqueCount="23">
  <si>
    <t>Cliente</t>
  </si>
  <si>
    <t>Produto</t>
  </si>
  <si>
    <t>Valor</t>
  </si>
  <si>
    <t>Ana</t>
  </si>
  <si>
    <t>Tênis Feminino</t>
  </si>
  <si>
    <t>Calça Feminina Jogger</t>
  </si>
  <si>
    <t>Camisa Masculina Festa Balada</t>
  </si>
  <si>
    <t>Jaqueta Masculina Preta</t>
  </si>
  <si>
    <t>Bolsa de Trabalho</t>
  </si>
  <si>
    <t>Vestido Infantil</t>
  </si>
  <si>
    <t>Sapatilha Sapato</t>
  </si>
  <si>
    <t>Colar Pingente</t>
  </si>
  <si>
    <t>Iasmin</t>
  </si>
  <si>
    <t>Bermuda Masculino</t>
  </si>
  <si>
    <t>Kit de Pinceis de Maquiagem</t>
  </si>
  <si>
    <t>Camisa Térmica</t>
  </si>
  <si>
    <t>Pedro</t>
  </si>
  <si>
    <t>Camisa Masculina</t>
  </si>
  <si>
    <t>Bota Masculina</t>
  </si>
  <si>
    <t>Sapato Social</t>
  </si>
  <si>
    <t>ÍNDICE CORRESP duas condições</t>
  </si>
  <si>
    <t>Fórmula em Inglês</t>
  </si>
  <si>
    <t>=INDEX($I$7:$K$21;MATCH(B7&amp;C7;$I$7:$I$21&amp;$J$7:$J$21;0);3)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</si>
</sst>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4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B2:K21"/>
  <sheetViews>
    <sheetView workbookViewId="0">
      <selection activeCell="B6" sqref="B6"/>
    </sheetView>
  </sheetViews>
  <sheetFormatPr defaultRowHeight="14.5" x14ac:dyDescent="0.35"/>
  <cols>
    <col min="1" max="1" width="9.54296875" customWidth="1"/>
    <col min="2" max="2" width="16.54296875" customWidth="1"/>
    <col min="3" max="3" width="25" customWidth="1"/>
    <col min="4" max="4" width="11.7265625" style="1" customWidth="1"/>
    <col min="5" max="7" width="7.54296875" customWidth="1"/>
    <col min="8" max="8" width="7.54296875" style="1" customWidth="1"/>
    <col min="9" max="9" width="15.7265625" customWidth="1"/>
    <col min="10" max="10" width="35.1796875" customWidth="1"/>
    <col min="11" max="11" width="15.453125" style="1" customWidth="1"/>
  </cols>
  <sheetData>
    <row r="2" spans="2:11" ht="15.5" x14ac:dyDescent="0.35">
      <c r="B2" s="2" t="s">
        <v>20</v>
      </c>
      <c r="I2" t="s">
        <v>21</v>
      </c>
    </row>
    <row r="3" spans="2:11" x14ac:dyDescent="0.35">
      <c r="I3" s="11" t="s">
        <v>22</v>
      </c>
    </row>
    <row r="6" spans="2:11" x14ac:dyDescent="0.35">
      <c r="B6" s="3" t="s">
        <v>0</v>
      </c>
      <c r="C6" s="3" t="s">
        <v>1</v>
      </c>
      <c r="D6" s="5" t="s">
        <v>2</v>
      </c>
      <c r="I6" s="7" t="s">
        <v>0</v>
      </c>
      <c r="J6" s="7" t="s">
        <v>1</v>
      </c>
      <c r="K6" s="10" t="s">
        <v>2</v>
      </c>
    </row>
    <row r="7" spans="2:11" x14ac:dyDescent="0.35">
      <c r="B7" s="4" t="s">
        <v>3</v>
      </c>
      <c r="C7" s="4" t="s">
        <v>4</v>
      </c>
      <c r="D7" s="6">
        <f t="array" ref="D7">INDEX($I$7:$K$21,MATCH(B7&amp;C7,$I$7:$I$21&amp;$J$7:$J$21,0),3)</f>
        <v>89.99</v>
      </c>
      <c r="I7" s="8" t="s">
        <v>3</v>
      </c>
      <c r="J7" s="8" t="s">
        <v>4</v>
      </c>
      <c r="K7" s="9">
        <v>89.99</v>
      </c>
    </row>
    <row r="8" spans="2:11" x14ac:dyDescent="0.35">
      <c r="B8" t="s">
        <v>12</v>
      </c>
      <c r="C8" t="s">
        <v>13</v>
      </c>
      <c r="D8" s="6">
        <f t="array" ref="D8">INDEX($I$7:$K$21,MATCH(B8&amp;C8,$I$7:$I$21&amp;$J$7:$J$21,0),3)</f>
        <v>148.56</v>
      </c>
      <c r="I8" s="8" t="s">
        <v>3</v>
      </c>
      <c r="J8" s="8" t="s">
        <v>5</v>
      </c>
      <c r="K8" s="9">
        <v>69.989999999999995</v>
      </c>
    </row>
    <row r="9" spans="2:11" x14ac:dyDescent="0.35">
      <c r="B9" t="s">
        <v>16</v>
      </c>
      <c r="C9" t="s">
        <v>17</v>
      </c>
      <c r="D9" s="6">
        <f t="array" ref="D9">INDEX($I$7:$K$21,MATCH(B9&amp;C9,$I$7:$I$21&amp;$J$7:$J$21,0),3)</f>
        <v>46.9</v>
      </c>
      <c r="I9" s="8" t="s">
        <v>16</v>
      </c>
      <c r="J9" s="8" t="s">
        <v>19</v>
      </c>
      <c r="K9" s="9">
        <v>153.4</v>
      </c>
    </row>
    <row r="10" spans="2:11" x14ac:dyDescent="0.35">
      <c r="B10" t="s">
        <v>3</v>
      </c>
      <c r="C10" t="s">
        <v>5</v>
      </c>
      <c r="D10" s="6">
        <f t="array" ref="D10">INDEX($I$7:$K$21,MATCH(B10&amp;C10,$I$7:$I$21&amp;$J$7:$J$21,0),3)</f>
        <v>69.989999999999995</v>
      </c>
      <c r="I10" s="8" t="s">
        <v>12</v>
      </c>
      <c r="J10" s="8" t="s">
        <v>13</v>
      </c>
      <c r="K10" s="9">
        <v>148.56</v>
      </c>
    </row>
    <row r="11" spans="2:11" x14ac:dyDescent="0.35">
      <c r="I11" s="8" t="s">
        <v>3</v>
      </c>
      <c r="J11" s="8" t="s">
        <v>6</v>
      </c>
      <c r="K11" s="9">
        <v>146.13999999999999</v>
      </c>
    </row>
    <row r="12" spans="2:11" x14ac:dyDescent="0.35">
      <c r="I12" s="8" t="s">
        <v>12</v>
      </c>
      <c r="J12" s="8" t="s">
        <v>18</v>
      </c>
      <c r="K12" s="9">
        <v>224.14</v>
      </c>
    </row>
    <row r="13" spans="2:11" x14ac:dyDescent="0.35">
      <c r="I13" s="8" t="s">
        <v>16</v>
      </c>
      <c r="J13" s="8" t="s">
        <v>7</v>
      </c>
      <c r="K13" s="9">
        <v>150.5</v>
      </c>
    </row>
    <row r="14" spans="2:11" x14ac:dyDescent="0.35">
      <c r="I14" s="8" t="s">
        <v>3</v>
      </c>
      <c r="J14" s="8" t="s">
        <v>8</v>
      </c>
      <c r="K14" s="9">
        <v>248.73</v>
      </c>
    </row>
    <row r="15" spans="2:11" x14ac:dyDescent="0.35">
      <c r="I15" s="8" t="s">
        <v>3</v>
      </c>
      <c r="J15" s="8" t="s">
        <v>14</v>
      </c>
      <c r="K15" s="9">
        <v>116.52</v>
      </c>
    </row>
    <row r="16" spans="2:11" x14ac:dyDescent="0.35">
      <c r="I16" s="8" t="s">
        <v>12</v>
      </c>
      <c r="J16" s="8" t="s">
        <v>9</v>
      </c>
      <c r="K16" s="9">
        <v>59.9</v>
      </c>
    </row>
    <row r="17" spans="9:11" x14ac:dyDescent="0.35">
      <c r="I17" s="8" t="s">
        <v>16</v>
      </c>
      <c r="J17" s="8" t="s">
        <v>17</v>
      </c>
      <c r="K17" s="9">
        <v>46.9</v>
      </c>
    </row>
    <row r="18" spans="9:11" x14ac:dyDescent="0.35">
      <c r="I18" s="8" t="s">
        <v>3</v>
      </c>
      <c r="J18" s="8" t="s">
        <v>15</v>
      </c>
      <c r="K18" s="9">
        <v>41.9</v>
      </c>
    </row>
    <row r="19" spans="9:11" x14ac:dyDescent="0.35">
      <c r="I19" s="8" t="s">
        <v>3</v>
      </c>
      <c r="J19" s="8" t="s">
        <v>19</v>
      </c>
      <c r="K19" s="9">
        <v>81.900000000000006</v>
      </c>
    </row>
    <row r="20" spans="9:11" x14ac:dyDescent="0.35">
      <c r="I20" s="8" t="s">
        <v>12</v>
      </c>
      <c r="J20" s="8" t="s">
        <v>10</v>
      </c>
      <c r="K20" s="9">
        <v>55.9</v>
      </c>
    </row>
    <row r="21" spans="9:11" x14ac:dyDescent="0.35">
      <c r="I21" s="8" t="s">
        <v>16</v>
      </c>
      <c r="J21" s="8" t="s">
        <v>11</v>
      </c>
      <c r="K21" s="9">
        <v>89.9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B2:K21"/>
  <sheetViews>
    <sheetView tabSelected="1" workbookViewId="0">
      <selection activeCell="F9" sqref="F9"/>
    </sheetView>
  </sheetViews>
  <sheetFormatPr defaultRowHeight="14.5" x14ac:dyDescent="0.35"/>
  <cols>
    <col min="1" max="1" width="9.54296875" customWidth="1"/>
    <col min="2" max="2" width="16.54296875" customWidth="1"/>
    <col min="3" max="3" width="25" customWidth="1"/>
    <col min="4" max="4" width="12.6328125" style="1" customWidth="1"/>
    <col min="5" max="7" width="7.54296875" customWidth="1"/>
    <col min="8" max="8" width="7.54296875" style="1" customWidth="1"/>
    <col min="9" max="9" width="15.7265625" customWidth="1"/>
    <col min="10" max="10" width="35.1796875" customWidth="1"/>
    <col min="11" max="11" width="15.453125" style="1" customWidth="1"/>
  </cols>
  <sheetData>
    <row r="2" spans="2:11" ht="15.5" x14ac:dyDescent="0.35">
      <c r="B2" s="2" t="s">
        <v>20</v>
      </c>
      <c r="I2" t="s">
        <v>21</v>
      </c>
    </row>
    <row r="3" spans="2:11" x14ac:dyDescent="0.35">
      <c r="I3" s="11" t="s">
        <v>22</v>
      </c>
    </row>
    <row r="6" spans="2:11" x14ac:dyDescent="0.35">
      <c r="B6" s="3" t="s">
        <v>0</v>
      </c>
      <c r="C6" s="3" t="s">
        <v>1</v>
      </c>
      <c r="D6" s="5" t="s">
        <v>2</v>
      </c>
      <c r="I6" s="7" t="s">
        <v>0</v>
      </c>
      <c r="J6" s="7" t="s">
        <v>1</v>
      </c>
      <c r="K6" s="10" t="s">
        <v>2</v>
      </c>
    </row>
    <row r="7" spans="2:11" x14ac:dyDescent="0.35">
      <c r="B7" s="4" t="s">
        <v>3</v>
      </c>
      <c r="C7" s="4" t="s">
        <v>4</v>
      </c>
      <c r="D7" s="6" cm="1">
        <f t="array" ref="D7">INDEX($I$7:$K$21,MATCH(B7&amp;C7,$I$7:$I$21&amp;$J$7:$J$21,0),3)</f>
        <v>89.99</v>
      </c>
      <c r="I7" s="8" t="s">
        <v>3</v>
      </c>
      <c r="J7" s="8" t="s">
        <v>4</v>
      </c>
      <c r="K7" s="9">
        <v>89.99</v>
      </c>
    </row>
    <row r="8" spans="2:11" x14ac:dyDescent="0.35">
      <c r="B8" t="s">
        <v>12</v>
      </c>
      <c r="C8" t="s">
        <v>13</v>
      </c>
      <c r="D8" s="6" cm="1">
        <f t="array" ref="D8">INDEX($I$7:$K$21,MATCH(B8&amp;C8,$I$7:$I$21&amp;$J$7:$J$21,0),3)</f>
        <v>148.56</v>
      </c>
      <c r="I8" s="8" t="s">
        <v>3</v>
      </c>
      <c r="J8" s="8" t="s">
        <v>5</v>
      </c>
      <c r="K8" s="9">
        <v>69.989999999999995</v>
      </c>
    </row>
    <row r="9" spans="2:11" x14ac:dyDescent="0.35">
      <c r="B9" t="s">
        <v>16</v>
      </c>
      <c r="C9" t="s">
        <v>17</v>
      </c>
      <c r="D9" s="6" cm="1">
        <f t="array" ref="D9">INDEX($I$7:$K$21,MATCH(B9&amp;C9,$I$7:$I$21&amp;$J$7:$J$21,0),3)</f>
        <v>46.9</v>
      </c>
      <c r="I9" s="8" t="s">
        <v>16</v>
      </c>
      <c r="J9" s="8" t="s">
        <v>19</v>
      </c>
      <c r="K9" s="9">
        <v>153.4</v>
      </c>
    </row>
    <row r="10" spans="2:11" x14ac:dyDescent="0.35">
      <c r="B10" t="s">
        <v>3</v>
      </c>
      <c r="C10" t="s">
        <v>5</v>
      </c>
      <c r="D10" s="6" cm="1">
        <f t="array" ref="D10">INDEX($I$7:$K$21,MATCH(B10&amp;C10,$I$7:$I$21&amp;$J$7:$J$21,0),3)</f>
        <v>69.989999999999995</v>
      </c>
      <c r="I10" s="8" t="s">
        <v>12</v>
      </c>
      <c r="J10" s="8" t="s">
        <v>13</v>
      </c>
      <c r="K10" s="9">
        <v>148.56</v>
      </c>
    </row>
    <row r="11" spans="2:11" x14ac:dyDescent="0.35">
      <c r="I11" s="8" t="s">
        <v>3</v>
      </c>
      <c r="J11" s="8" t="s">
        <v>6</v>
      </c>
      <c r="K11" s="9">
        <v>146.13999999999999</v>
      </c>
    </row>
    <row r="12" spans="2:11" x14ac:dyDescent="0.35">
      <c r="I12" s="8" t="s">
        <v>12</v>
      </c>
      <c r="J12" s="8" t="s">
        <v>18</v>
      </c>
      <c r="K12" s="9">
        <v>224.14</v>
      </c>
    </row>
    <row r="13" spans="2:11" x14ac:dyDescent="0.35">
      <c r="I13" s="8" t="s">
        <v>16</v>
      </c>
      <c r="J13" s="8" t="s">
        <v>7</v>
      </c>
      <c r="K13" s="9">
        <v>150.5</v>
      </c>
    </row>
    <row r="14" spans="2:11" x14ac:dyDescent="0.35">
      <c r="I14" s="8" t="s">
        <v>3</v>
      </c>
      <c r="J14" s="8" t="s">
        <v>8</v>
      </c>
      <c r="K14" s="9">
        <v>248.73</v>
      </c>
    </row>
    <row r="15" spans="2:11" x14ac:dyDescent="0.35">
      <c r="I15" s="8" t="s">
        <v>3</v>
      </c>
      <c r="J15" s="8" t="s">
        <v>14</v>
      </c>
      <c r="K15" s="9">
        <v>116.52</v>
      </c>
    </row>
    <row r="16" spans="2:11" x14ac:dyDescent="0.35">
      <c r="I16" s="8" t="s">
        <v>12</v>
      </c>
      <c r="J16" s="8" t="s">
        <v>9</v>
      </c>
      <c r="K16" s="9">
        <v>59.9</v>
      </c>
    </row>
    <row r="17" spans="9:11" x14ac:dyDescent="0.35">
      <c r="I17" s="8" t="s">
        <v>16</v>
      </c>
      <c r="J17" s="8" t="s">
        <v>17</v>
      </c>
      <c r="K17" s="9">
        <v>46.9</v>
      </c>
    </row>
    <row r="18" spans="9:11" x14ac:dyDescent="0.35">
      <c r="I18" s="8" t="s">
        <v>3</v>
      </c>
      <c r="J18" s="8" t="s">
        <v>15</v>
      </c>
      <c r="K18" s="9">
        <v>41.9</v>
      </c>
    </row>
    <row r="19" spans="9:11" x14ac:dyDescent="0.35">
      <c r="I19" s="8" t="s">
        <v>3</v>
      </c>
      <c r="J19" s="8" t="s">
        <v>19</v>
      </c>
      <c r="K19" s="9">
        <v>81.900000000000006</v>
      </c>
    </row>
    <row r="20" spans="9:11" x14ac:dyDescent="0.35">
      <c r="I20" s="8" t="s">
        <v>12</v>
      </c>
      <c r="J20" s="8" t="s">
        <v>10</v>
      </c>
      <c r="K20" s="9">
        <v>55.9</v>
      </c>
    </row>
    <row r="21" spans="9:11" x14ac:dyDescent="0.35">
      <c r="I21" s="8" t="s">
        <v>16</v>
      </c>
      <c r="J21" s="8" t="s">
        <v>11</v>
      </c>
      <c r="K21" s="9">
        <v>89.9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2026-05-11T17:59:47Z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2026-05-11T17:51:38Z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48529d06-aa9a-4746-abed-da1c85a2b3a4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
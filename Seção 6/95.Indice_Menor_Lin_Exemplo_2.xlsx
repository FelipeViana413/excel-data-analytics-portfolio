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49" documentId="13_ncr:1_{A0D9D544-FA7F-4D4F-9186-05871BB970E8}" xr6:coauthVersionLast="47" xr6:coauthVersionMax="47" xr10:uidLastSave="{2AE6DFD4-AE11-4B2E-91FA-288E8A12B290}"/>
  <bookViews>
    <workbookView xWindow="-110" yWindow="-110" windowWidth="19420" windowHeight="11500" activeTab="1" xr2:uid="{1D135085-162F-4F6A-83EE-95534B59CC74}"/>
  </bookViews>
  <sheets>
    <sheet name="Professor" sheetId="6" r:id="rId1"/>
    <sheet name="Aluno" sheetId="5" r:id="rId2"/>
    <sheet name="Dados" sheetId="1" r:id="rId3"/>
  </sheets>
  <definedNames>
    <definedName name="_xlnm._FilterDatabase" localSheetId="2" hidden="1">Dados!$A$1:$C$16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5" l="1" a="1"/>
  <c r="A18" i="5" s="1"/>
  <c r="B18" i="5" a="1"/>
  <c r="B18" i="5" s="1"/>
  <c r="C18" i="5" a="1"/>
  <c r="C18" i="5" s="1"/>
  <c r="A19" i="5" a="1"/>
  <c r="A19" i="5" s="1"/>
  <c r="B19" i="5" a="1"/>
  <c r="B19" i="5" s="1"/>
  <c r="C19" i="5" a="1"/>
  <c r="C19" i="5" s="1"/>
  <c r="A20" i="5" a="1"/>
  <c r="A20" i="5" s="1"/>
  <c r="B20" i="5" a="1"/>
  <c r="B20" i="5" s="1"/>
  <c r="C20" i="5" a="1"/>
  <c r="C20" i="5" s="1"/>
  <c r="A21" i="5" a="1"/>
  <c r="A21" i="5" s="1"/>
  <c r="B21" i="5" a="1"/>
  <c r="B21" i="5" s="1"/>
  <c r="C21" i="5" a="1"/>
  <c r="C21" i="5" s="1"/>
  <c r="A22" i="5" a="1"/>
  <c r="A22" i="5" s="1"/>
  <c r="B22" i="5" a="1"/>
  <c r="B22" i="5" s="1"/>
  <c r="C22" i="5" a="1"/>
  <c r="C22" i="5" s="1"/>
  <c r="A23" i="5" a="1"/>
  <c r="A23" i="5" s="1"/>
  <c r="B23" i="5" a="1"/>
  <c r="B23" i="5" s="1"/>
  <c r="C23" i="5" a="1"/>
  <c r="C23" i="5" s="1"/>
  <c r="C17" i="5" a="1"/>
  <c r="C17" i="5" s="1"/>
  <c r="B17" i="5" a="1"/>
  <c r="B17" i="5" s="1"/>
  <c r="A17" i="5" a="1"/>
  <c r="A17" i="5" s="1"/>
  <c r="A24" i="5" a="1"/>
  <c r="A24" i="5" s="1"/>
  <c r="A25" i="5" a="1"/>
  <c r="A25" i="5" s="1"/>
  <c r="A26" i="5" a="1"/>
  <c r="A26" i="5" s="1"/>
  <c r="C24" i="5" a="1"/>
  <c r="C24" i="5" s="1"/>
  <c r="C25" i="5" a="1"/>
  <c r="C25" i="5" s="1"/>
  <c r="C26" i="5" a="1"/>
  <c r="C26" i="5" s="1"/>
  <c r="B24" i="5" a="1"/>
  <c r="B24" i="5" s="1"/>
  <c r="B25" i="5" a="1"/>
  <c r="B25" i="5" s="1"/>
  <c r="B26" i="5" a="1"/>
  <c r="B26" i="5" s="1"/>
  <c r="C18" i="6" a="1"/>
  <c r="C18" i="6" s="1"/>
  <c r="C19" i="6" a="1"/>
  <c r="C19" i="6" s="1"/>
  <c r="C20" i="6" a="1"/>
  <c r="C20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17" i="6" a="1"/>
  <c r="C17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17" i="6" a="1"/>
  <c r="B17" i="6" s="1"/>
  <c r="A18" i="6" a="1"/>
  <c r="A18" i="6" s="1"/>
  <c r="A19" i="6" a="1"/>
  <c r="A19" i="6" s="1"/>
  <c r="A20" i="6" a="1"/>
  <c r="A20" i="6" s="1"/>
  <c r="A21" i="6" a="1"/>
  <c r="A21" i="6" s="1"/>
  <c r="A22" i="6" a="1"/>
  <c r="A22" i="6" s="1"/>
  <c r="A23" i="6" a="1"/>
  <c r="A23" i="6" s="1"/>
  <c r="A24" i="6" a="1"/>
  <c r="A24" i="6" s="1"/>
  <c r="A25" i="6" a="1"/>
  <c r="A25" i="6" s="1"/>
  <c r="A26" i="6" a="1"/>
  <c r="A26" i="6" s="1"/>
  <c r="A17" i="6" a="1"/>
  <c r="A1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<sst xmlns="http://schemas.openxmlformats.org/spreadsheetml/2006/main" count="63" uniqueCount="29">
  <si>
    <t>Cliente</t>
  </si>
  <si>
    <t>Valor</t>
  </si>
  <si>
    <t>Ana</t>
  </si>
  <si>
    <t>Iasmin</t>
  </si>
  <si>
    <t>Pedro</t>
  </si>
  <si>
    <t>Tênis Feminino</t>
  </si>
  <si>
    <t>Calça Feminina Jogger</t>
  </si>
  <si>
    <t>Sapato Social</t>
  </si>
  <si>
    <t>Bermuda Masculino</t>
  </si>
  <si>
    <t>Camisa Masculina Festa Balada</t>
  </si>
  <si>
    <t>Bota Masculina</t>
  </si>
  <si>
    <t>Jaqueta Masculina Preta</t>
  </si>
  <si>
    <t>Bolsa de Trabalho</t>
  </si>
  <si>
    <t>Kit de Pinceis de Maquiagem</t>
  </si>
  <si>
    <t>Vestido Infantil</t>
  </si>
  <si>
    <t>Camisa Masculina</t>
  </si>
  <si>
    <t>Camisa Térmica</t>
  </si>
  <si>
    <t>Sapatilha Sapato</t>
  </si>
  <si>
    <t>Colar Pingente</t>
  </si>
  <si>
    <t>Produto</t>
  </si>
  <si>
    <t>Curso de Excel do Básico ao Avançado</t>
  </si>
  <si>
    <t>Professor:</t>
  </si>
  <si>
    <t xml:space="preserve">     Clevison Santos</t>
  </si>
  <si>
    <t>Aula:</t>
  </si>
  <si>
    <t xml:space="preserve">     ÍNDICE / INDEX</t>
  </si>
  <si>
    <t xml:space="preserve">     LIN / ROW</t>
  </si>
  <si>
    <t xml:space="preserve">     MENOR / SMALL</t>
  </si>
  <si>
    <t>Fran</t>
  </si>
  <si>
    <t>Jóias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</si>
</sst>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quotePrefix="1" applyFont="1" applyBorder="1"/>
    <xf numFmtId="0" fontId="4" fillId="0" borderId="2" xfId="0" applyFont="1" applyBorder="1"/>
    <xf numFmtId="0" fontId="4" fillId="0" borderId="2" xfId="0" applyFont="1" applyBorder="1" applyAlignment="1">
      <alignment horizontal="left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69B7-4C92-40C3-BC14-F0FD584EA4E0}">
  <dimension ref="A1:K26"/>
  <sheetViews>
    <sheetView showGridLines="0" workbookViewId="0">
      <selection activeCell="A16" sqref="A16"/>
    </sheetView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11" s="4" customFormat="1" x14ac:dyDescent="0.35">
      <c r="E1" s="5"/>
      <c r="F1" s="5"/>
      <c r="H1" s="5"/>
      <c r="I1" s="5"/>
    </row>
    <row r="2" spans="1:11" s="4" customFormat="1" ht="15.65" customHeight="1" x14ac:dyDescent="0.35">
      <c r="B2" s="19" t="s">
        <v>20</v>
      </c>
      <c r="C2" s="19"/>
      <c r="D2" s="19"/>
      <c r="E2" s="19"/>
      <c r="F2" s="19"/>
      <c r="G2" s="19"/>
      <c r="H2" s="19"/>
      <c r="I2" s="19"/>
      <c r="J2" s="19"/>
      <c r="K2" s="19"/>
    </row>
    <row r="3" spans="1:11" s="4" customFormat="1" ht="14.4" customHeight="1" x14ac:dyDescent="0.35"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s="4" customFormat="1" ht="14.4" customHeight="1" x14ac:dyDescent="0.35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s="4" customFormat="1" ht="23.5" x14ac:dyDescent="0.55000000000000004">
      <c r="B5" s="20" t="s">
        <v>21</v>
      </c>
      <c r="C5" s="20"/>
      <c r="D5" s="6" t="s">
        <v>22</v>
      </c>
      <c r="E5" s="5"/>
      <c r="F5" s="5"/>
      <c r="H5" s="5"/>
      <c r="I5" s="5"/>
    </row>
    <row r="6" spans="1:11" s="4" customFormat="1" ht="23.5" x14ac:dyDescent="0.55000000000000004">
      <c r="B6" s="20" t="s">
        <v>23</v>
      </c>
      <c r="C6" s="20"/>
      <c r="D6" s="6" t="s">
        <v>24</v>
      </c>
      <c r="E6" s="5"/>
      <c r="F6" s="5"/>
      <c r="H6" s="5"/>
      <c r="I6" s="5"/>
    </row>
    <row r="7" spans="1:11" s="4" customFormat="1" ht="23.5" x14ac:dyDescent="0.55000000000000004">
      <c r="B7" s="20" t="s">
        <v>23</v>
      </c>
      <c r="C7" s="20"/>
      <c r="D7" s="6" t="s">
        <v>25</v>
      </c>
      <c r="E7" s="5"/>
      <c r="F7" s="5"/>
      <c r="H7" s="5"/>
      <c r="I7" s="5"/>
    </row>
    <row r="8" spans="1:11" s="4" customFormat="1" ht="23.5" x14ac:dyDescent="0.55000000000000004">
      <c r="B8" s="20" t="s">
        <v>23</v>
      </c>
      <c r="C8" s="20"/>
      <c r="D8" s="6" t="s">
        <v>26</v>
      </c>
      <c r="E8" s="5"/>
      <c r="F8" s="5"/>
      <c r="H8" s="5"/>
      <c r="I8" s="5"/>
    </row>
    <row r="9" spans="1:11" s="4" customFormat="1" x14ac:dyDescent="0.35">
      <c r="E9" s="5"/>
      <c r="F9" s="5"/>
      <c r="H9" s="5"/>
      <c r="I9" s="5"/>
    </row>
    <row r="12" spans="1:11" x14ac:dyDescent="0.35">
      <c r="E12" s="3"/>
    </row>
    <row r="13" spans="1:11" ht="21" x14ac:dyDescent="0.5">
      <c r="A13" s="11" t="s">
        <v>0</v>
      </c>
      <c r="B13" s="12" t="s">
        <v>3</v>
      </c>
      <c r="C13" s="9"/>
      <c r="E13" s="3"/>
    </row>
    <row r="14" spans="1:11" ht="21" x14ac:dyDescent="0.5">
      <c r="A14" s="7"/>
      <c r="B14" s="8"/>
      <c r="C14" s="9"/>
      <c r="E14" s="3"/>
    </row>
    <row r="15" spans="1:11" ht="21" x14ac:dyDescent="0.5">
      <c r="A15" s="7"/>
      <c r="B15" s="8"/>
      <c r="C15" s="9"/>
    </row>
    <row r="16" spans="1:11" ht="21" x14ac:dyDescent="0.5">
      <c r="A16" s="13" t="s">
        <v>0</v>
      </c>
      <c r="B16" s="14" t="s">
        <v>19</v>
      </c>
      <c r="C16" s="15" t="s">
        <v>1</v>
      </c>
    </row>
    <row r="17" spans="1:3" ht="21" x14ac:dyDescent="0.5">
      <c r="A17" s="10" t="str">
        <f t="array" ref="A17">IFERROR(INDEX(Dados!$A:$C,SMALL(IF(Dados!$A:$A=Professor!$B$13,ROW(Dados!$A:$A)),ROW(A1)),1),"")</f>
        <v>Iasmin</v>
      </c>
      <c r="B17" s="10" t="str">
        <f t="array" ref="B17">IFERROR(INDEX(Dados!$A:$C,SMALL(IF(Dados!$A:$A=Professor!$B$13,ROW(Dados!$A:$A)),ROW(B1)),2),"")</f>
        <v>Bolsa de Trabalho</v>
      </c>
      <c r="C17" s="10">
        <f t="array" ref="C17">IFERROR(INDEX(Dados!$A:$C,SMALL(IF(Dados!$A:$A=Professor!$B$13,ROW(Dados!$A:$A)),ROW(C1)),3),"")</f>
        <v>55.9</v>
      </c>
    </row>
    <row r="18" spans="1:3" ht="21" x14ac:dyDescent="0.5">
      <c r="A18" s="10" t="str">
        <f t="array" ref="A18">IFERROR(INDEX(Dados!$A:$C,SMALL(IF(Dados!$A:$A=Professor!$B$13,ROW(Dados!$A:$A)),ROW(A2)),1),"")</f>
        <v>Iasmin</v>
      </c>
      <c r="B18" s="10" t="str">
        <f t="array" ref="B18">IFERROR(INDEX(Dados!$A:$C,SMALL(IF(Dados!$A:$A=Professor!$B$13,ROW(Dados!$A:$A)),ROW(B2)),2),"")</f>
        <v>Kit de Pinceis de Maquiagem</v>
      </c>
      <c r="C18" s="10">
        <f t="array" ref="C18">IFERROR(INDEX(Dados!$A:$C,SMALL(IF(Dados!$A:$A=Professor!$B$13,ROW(Dados!$A:$A)),ROW(C2)),3),"")</f>
        <v>59.9</v>
      </c>
    </row>
    <row r="19" spans="1:3" ht="21" x14ac:dyDescent="0.5">
      <c r="A19" s="10" t="str">
        <f t="array" ref="A19">IFERROR(INDEX(Dados!$A:$C,SMALL(IF(Dados!$A:$A=Professor!$B$13,ROW(Dados!$A:$A)),ROW(A3)),1),"")</f>
        <v>Iasmin</v>
      </c>
      <c r="B19" s="10" t="str">
        <f t="array" ref="B19">IFERROR(INDEX(Dados!$A:$C,SMALL(IF(Dados!$A:$A=Professor!$B$13,ROW(Dados!$A:$A)),ROW(B3)),2),"")</f>
        <v>Vestido Infantil</v>
      </c>
      <c r="C19" s="10">
        <f t="array" ref="C19">IFERROR(INDEX(Dados!$A:$C,SMALL(IF(Dados!$A:$A=Professor!$B$13,ROW(Dados!$A:$A)),ROW(C3)),3),"")</f>
        <v>148.56</v>
      </c>
    </row>
    <row r="20" spans="1:3" ht="21" x14ac:dyDescent="0.5">
      <c r="A20" s="10" t="str">
        <f t="array" ref="A20">IFERROR(INDEX(Dados!$A:$C,SMALL(IF(Dados!$A:$A=Professor!$B$13,ROW(Dados!$A:$A)),ROW(A4)),1),"")</f>
        <v>Iasmin</v>
      </c>
      <c r="B20" s="10" t="str">
        <f t="array" ref="B20">IFERROR(INDEX(Dados!$A:$C,SMALL(IF(Dados!$A:$A=Professor!$B$13,ROW(Dados!$A:$A)),ROW(B4)),2),"")</f>
        <v>Camisa Masculina</v>
      </c>
      <c r="C20" s="10">
        <f t="array" ref="C20">IFERROR(INDEX(Dados!$A:$C,SMALL(IF(Dados!$A:$A=Professor!$B$13,ROW(Dados!$A:$A)),ROW(C4)),3),"")</f>
        <v>224.14</v>
      </c>
    </row>
    <row r="21" spans="1:3" ht="21" x14ac:dyDescent="0.5">
      <c r="A21" s="10" t="str">
        <f t="array" ref="A21">IFERROR(INDEX(Dados!$A:$C,SMALL(IF(Dados!$A:$A=Professor!$B$13,ROW(Dados!$A:$A)),ROW(A5)),1),"")</f>
        <v/>
      </c>
      <c r="B21" s="10" t="str">
        <f t="array" ref="B21">IFERROR(INDEX(Dados!$A:$C,SMALL(IF(Dados!$A:$A=Professor!$B$13,ROW(Dados!$A:$A)),ROW(B5)),2),"")</f>
        <v/>
      </c>
      <c r="C21" s="10" t="str">
        <f t="array" ref="C21">IFERROR(INDEX(Dados!$A:$C,SMALL(IF(Dados!$A:$A=Professor!$B$13,ROW(Dados!$A:$A)),ROW(C5)),3),"")</f>
        <v/>
      </c>
    </row>
    <row r="22" spans="1:3" ht="21" x14ac:dyDescent="0.5">
      <c r="A22" s="10" t="str">
        <f t="array" ref="A22">IFERROR(INDEX(Dados!$A:$C,SMALL(IF(Dados!$A:$A=Professor!$B$13,ROW(Dados!$A:$A)),ROW(A6)),1),"")</f>
        <v/>
      </c>
      <c r="B22" s="10" t="str">
        <f t="array" ref="B22">IFERROR(INDEX(Dados!$A:$C,SMALL(IF(Dados!$A:$A=Professor!$B$13,ROW(Dados!$A:$A)),ROW(B6)),2),"")</f>
        <v/>
      </c>
      <c r="C22" s="10" t="str">
        <f t="array" ref="C22">IFERROR(INDEX(Dados!$A:$C,SMALL(IF(Dados!$A:$A=Professor!$B$13,ROW(Dados!$A:$A)),ROW(C6)),3),"")</f>
        <v/>
      </c>
    </row>
    <row r="23" spans="1:3" ht="21" x14ac:dyDescent="0.5">
      <c r="A23" s="10" t="str">
        <f t="array" ref="A23">IFERROR(INDEX(Dados!$A:$C,SMALL(IF(Dados!$A:$A=Professor!$B$13,ROW(Dados!$A:$A)),ROW(A7)),1),"")</f>
        <v/>
      </c>
      <c r="B23" s="10" t="str">
        <f t="array" ref="B23">IFERROR(INDEX(Dados!$A:$C,SMALL(IF(Dados!$A:$A=Professor!$B$13,ROW(Dados!$A:$A)),ROW(B7)),2),"")</f>
        <v/>
      </c>
      <c r="C23" s="10" t="str">
        <f t="array" ref="C23">IFERROR(INDEX(Dados!$A:$C,SMALL(IF(Dados!$A:$A=Professor!$B$13,ROW(Dados!$A:$A)),ROW(C7)),3),"")</f>
        <v/>
      </c>
    </row>
    <row r="24" spans="1:3" ht="21" x14ac:dyDescent="0.5">
      <c r="A24" s="10" t="str">
        <f t="array" ref="A24">IFERROR(INDEX(Dados!$A:$C,SMALL(IF(Dados!$A:$A=Professor!$B$13,ROW(Dados!$A:$A)),ROW(A8)),1),"")</f>
        <v/>
      </c>
      <c r="B24" s="10" t="str">
        <f t="array" ref="B24">IFERROR(INDEX(Dados!$A:$C,SMALL(IF(Dados!$A:$A=Professor!$B$13,ROW(Dados!$A:$A)),ROW(B8)),2),"")</f>
        <v/>
      </c>
      <c r="C24" s="10" t="str">
        <f t="array" ref="C24">IFERROR(INDEX(Dados!$A:$C,SMALL(IF(Dados!$A:$A=Professor!$B$13,ROW(Dados!$A:$A)),ROW(C8)),3),"")</f>
        <v/>
      </c>
    </row>
    <row r="25" spans="1:3" ht="21" x14ac:dyDescent="0.5">
      <c r="A25" s="10" t="str">
        <f t="array" ref="A25">IFERROR(INDEX(Dados!$A:$C,SMALL(IF(Dados!$A:$A=Professor!$B$13,ROW(Dados!$A:$A)),ROW(A9)),1),"")</f>
        <v/>
      </c>
      <c r="B25" s="10" t="str">
        <f t="array" ref="B25">IFERROR(INDEX(Dados!$A:$C,SMALL(IF(Dados!$A:$A=Professor!$B$13,ROW(Dados!$A:$A)),ROW(B9)),2),"")</f>
        <v/>
      </c>
      <c r="C25" s="10" t="str">
        <f t="array" ref="C25">IFERROR(INDEX(Dados!$A:$C,SMALL(IF(Dados!$A:$A=Professor!$B$13,ROW(Dados!$A:$A)),ROW(C9)),3),"")</f>
        <v/>
      </c>
    </row>
    <row r="26" spans="1:3" ht="21" x14ac:dyDescent="0.5">
      <c r="A26" s="10" t="str">
        <f t="array" ref="A26">IFERROR(INDEX(Dados!$A:$C,SMALL(IF(Dados!$A:$A=Professor!$B$13,ROW(Dados!$A:$A)),ROW(A10)),1),"")</f>
        <v/>
      </c>
      <c r="B26" s="10" t="str">
        <f t="array" ref="B26">IFERROR(INDEX(Dados!$A:$C,SMALL(IF(Dados!$A:$A=Professor!$B$13,ROW(Dados!$A:$A)),ROW(B10)),2),"")</f>
        <v/>
      </c>
      <c r="C26" s="10" t="str">
        <f t="array" ref="C26">IFERROR(INDEX(Dados!$A:$C,SMALL(IF(Dados!$A:$A=Professor!$B$13,ROW(Dados!$A:$A)),ROW(C10)),3),"")</f>
        <v/>
      </c>
    </row>
  </sheetData>
  <mergeCells count="5">
    <mergeCell ref="B2:K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EB2B-C9F0-49C1-A984-1675FC345836}">
  <dimension ref="A1:K26"/>
  <sheetViews>
    <sheetView showGridLines="0" tabSelected="1" topLeftCell="A11" workbookViewId="0">
      <selection activeCell="B13" sqref="B13"/>
    </sheetView>
  </sheetViews>
  <sheetFormatPr defaultRowHeight="14.5" x14ac:dyDescent="0.35"/>
  <cols>
    <col min="1" max="1" width="14.90625" customWidth="1"/>
    <col min="2" max="2" width="30.90625" style="2" customWidth="1"/>
    <col min="3" max="3" width="20.90625" style="1" customWidth="1"/>
  </cols>
  <sheetData>
    <row r="1" spans="1:11" s="4" customFormat="1" x14ac:dyDescent="0.35">
      <c r="E1" s="5"/>
      <c r="F1" s="5"/>
      <c r="H1" s="5"/>
      <c r="I1" s="5"/>
    </row>
    <row r="2" spans="1:11" s="4" customFormat="1" ht="15.65" customHeight="1" x14ac:dyDescent="0.35">
      <c r="B2" s="19" t="s">
        <v>20</v>
      </c>
      <c r="C2" s="19"/>
      <c r="D2" s="19"/>
      <c r="E2" s="19"/>
      <c r="F2" s="19"/>
      <c r="G2" s="19"/>
      <c r="H2" s="19"/>
      <c r="I2" s="19"/>
      <c r="J2" s="19"/>
      <c r="K2" s="19"/>
    </row>
    <row r="3" spans="1:11" s="4" customFormat="1" ht="14.4" customHeight="1" x14ac:dyDescent="0.35"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s="4" customFormat="1" ht="14.4" customHeight="1" x14ac:dyDescent="0.35"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s="4" customFormat="1" ht="23.5" x14ac:dyDescent="0.55000000000000004">
      <c r="B5" s="20" t="s">
        <v>21</v>
      </c>
      <c r="C5" s="20"/>
      <c r="D5" s="6" t="s">
        <v>22</v>
      </c>
      <c r="E5" s="5"/>
      <c r="F5" s="5"/>
      <c r="H5" s="5"/>
      <c r="I5" s="5"/>
    </row>
    <row r="6" spans="1:11" s="4" customFormat="1" ht="23.5" x14ac:dyDescent="0.55000000000000004">
      <c r="B6" s="20" t="s">
        <v>23</v>
      </c>
      <c r="C6" s="20"/>
      <c r="D6" s="6" t="s">
        <v>24</v>
      </c>
      <c r="E6" s="5"/>
      <c r="F6" s="5"/>
      <c r="H6" s="5"/>
      <c r="I6" s="5"/>
    </row>
    <row r="7" spans="1:11" s="4" customFormat="1" ht="23.5" x14ac:dyDescent="0.55000000000000004">
      <c r="B7" s="20" t="s">
        <v>23</v>
      </c>
      <c r="C7" s="20"/>
      <c r="D7" s="6" t="s">
        <v>25</v>
      </c>
      <c r="E7" s="5"/>
      <c r="F7" s="5"/>
      <c r="H7" s="5"/>
      <c r="I7" s="5"/>
    </row>
    <row r="8" spans="1:11" s="4" customFormat="1" ht="23.5" x14ac:dyDescent="0.55000000000000004">
      <c r="B8" s="20" t="s">
        <v>23</v>
      </c>
      <c r="C8" s="20"/>
      <c r="D8" s="6" t="s">
        <v>26</v>
      </c>
      <c r="E8" s="5"/>
      <c r="F8" s="5"/>
      <c r="H8" s="5"/>
      <c r="I8" s="5"/>
    </row>
    <row r="9" spans="1:11" s="4" customFormat="1" x14ac:dyDescent="0.35">
      <c r="E9" s="5"/>
      <c r="F9" s="5"/>
      <c r="H9" s="5"/>
      <c r="I9" s="5"/>
    </row>
    <row r="12" spans="1:11" x14ac:dyDescent="0.35">
      <c r="E12" s="3"/>
    </row>
    <row r="13" spans="1:11" ht="21" x14ac:dyDescent="0.5">
      <c r="A13" s="11" t="s">
        <v>0</v>
      </c>
      <c r="B13" s="12" t="s">
        <v>27</v>
      </c>
      <c r="C13" s="9"/>
      <c r="E13" s="3"/>
    </row>
    <row r="14" spans="1:11" ht="21" x14ac:dyDescent="0.5">
      <c r="A14" s="7"/>
      <c r="B14" s="8"/>
      <c r="C14" s="9"/>
      <c r="E14" s="3"/>
    </row>
    <row r="15" spans="1:11" ht="21" x14ac:dyDescent="0.5">
      <c r="A15" s="7"/>
      <c r="B15" s="8"/>
      <c r="C15" s="9"/>
    </row>
    <row r="16" spans="1:11" ht="21" x14ac:dyDescent="0.5">
      <c r="A16" s="13" t="s">
        <v>0</v>
      </c>
      <c r="B16" s="14" t="s">
        <v>19</v>
      </c>
      <c r="C16" s="15" t="s">
        <v>1</v>
      </c>
    </row>
    <row r="17" spans="1:3" ht="21" x14ac:dyDescent="0.5">
      <c r="A17" s="10" t="str" cm="1">
        <f t="array" ref="A17">IFERROR(INDEX(Dados!$A:$C,SMALL(IF(Dados!$A:$A=Aluno!$B$13,ROW(Dados!$A:$A)),ROW(A1)),COLUMN(A1)),"")</f>
        <v>Fran</v>
      </c>
      <c r="B17" s="10" t="str" cm="1">
        <f t="array" ref="B17">IFERROR(INDEX(Dados!$A:$C,SMALL(IF(Dados!$A:$A=Aluno!$B$13,ROW(Dados!$A:$A)),ROW(B1)),COLUMN(B1)),"")</f>
        <v>Jóias</v>
      </c>
      <c r="C17" s="10" cm="1">
        <f t="array" ref="C17">IFERROR(INDEX(Dados!$A:$C,SMALL(IF(Dados!$A:$A=Aluno!$B$13,ROW(Dados!$A:$A)),ROW(C1)),COLUMN(C1)),"")</f>
        <v>900</v>
      </c>
    </row>
    <row r="18" spans="1:3" ht="21" x14ac:dyDescent="0.5">
      <c r="A18" s="10" t="str" cm="1">
        <f t="array" ref="A18">IFERROR(INDEX(Dados!$A:$C,SMALL(IF(Dados!$A:$A=Aluno!$B$13,ROW(Dados!$A:$A)),ROW(A2)),COLUMN(A2)),"")</f>
        <v/>
      </c>
      <c r="B18" s="10" t="str" cm="1">
        <f t="array" ref="B18">IFERROR(INDEX(Dados!$A:$C,SMALL(IF(Dados!$A:$A=Aluno!$B$13,ROW(Dados!$A:$A)),ROW(B2)),COLUMN(B2)),"")</f>
        <v/>
      </c>
      <c r="C18" s="10" t="str" cm="1">
        <f t="array" ref="C18">IFERROR(INDEX(Dados!$A:$C,SMALL(IF(Dados!$A:$A=Aluno!$B$13,ROW(Dados!$A:$A)),ROW(C2)),COLUMN(C2)),"")</f>
        <v/>
      </c>
    </row>
    <row r="19" spans="1:3" ht="21" x14ac:dyDescent="0.5">
      <c r="A19" s="10" t="str" cm="1">
        <f t="array" ref="A19">IFERROR(INDEX(Dados!$A:$C,SMALL(IF(Dados!$A:$A=Aluno!$B$13,ROW(Dados!$A:$A)),ROW(A3)),COLUMN(A3)),"")</f>
        <v/>
      </c>
      <c r="B19" s="10" t="str" cm="1">
        <f t="array" ref="B19">IFERROR(INDEX(Dados!$A:$C,SMALL(IF(Dados!$A:$A=Aluno!$B$13,ROW(Dados!$A:$A)),ROW(B3)),COLUMN(B3)),"")</f>
        <v/>
      </c>
      <c r="C19" s="10" t="str" cm="1">
        <f t="array" ref="C19">IFERROR(INDEX(Dados!$A:$C,SMALL(IF(Dados!$A:$A=Aluno!$B$13,ROW(Dados!$A:$A)),ROW(C3)),COLUMN(C3)),"")</f>
        <v/>
      </c>
    </row>
    <row r="20" spans="1:3" ht="21" x14ac:dyDescent="0.5">
      <c r="A20" s="10" t="str" cm="1">
        <f t="array" ref="A20">IFERROR(INDEX(Dados!$A:$C,SMALL(IF(Dados!$A:$A=Aluno!$B$13,ROW(Dados!$A:$A)),ROW(A4)),COLUMN(A4)),"")</f>
        <v/>
      </c>
      <c r="B20" s="10" t="str" cm="1">
        <f t="array" ref="B20">IFERROR(INDEX(Dados!$A:$C,SMALL(IF(Dados!$A:$A=Aluno!$B$13,ROW(Dados!$A:$A)),ROW(B4)),COLUMN(B4)),"")</f>
        <v/>
      </c>
      <c r="C20" s="10" t="str" cm="1">
        <f t="array" ref="C20">IFERROR(INDEX(Dados!$A:$C,SMALL(IF(Dados!$A:$A=Aluno!$B$13,ROW(Dados!$A:$A)),ROW(C4)),COLUMN(C4)),"")</f>
        <v/>
      </c>
    </row>
    <row r="21" spans="1:3" ht="21" x14ac:dyDescent="0.5">
      <c r="A21" s="10" t="str" cm="1">
        <f t="array" ref="A21">IFERROR(INDEX(Dados!$A:$C,SMALL(IF(Dados!$A:$A=Aluno!$B$13,ROW(Dados!$A:$A)),ROW(A5)),COLUMN(A5)),"")</f>
        <v/>
      </c>
      <c r="B21" s="10" t="str" cm="1">
        <f t="array" ref="B21">IFERROR(INDEX(Dados!$A:$C,SMALL(IF(Dados!$A:$A=Aluno!$B$13,ROW(Dados!$A:$A)),ROW(B5)),COLUMN(B5)),"")</f>
        <v/>
      </c>
      <c r="C21" s="10" t="str" cm="1">
        <f t="array" ref="C21">IFERROR(INDEX(Dados!$A:$C,SMALL(IF(Dados!$A:$A=Aluno!$B$13,ROW(Dados!$A:$A)),ROW(C5)),COLUMN(C5)),"")</f>
        <v/>
      </c>
    </row>
    <row r="22" spans="1:3" ht="21" x14ac:dyDescent="0.5">
      <c r="A22" s="10" t="str" cm="1">
        <f t="array" ref="A22">IFERROR(INDEX(Dados!$A:$C,SMALL(IF(Dados!$A:$A=Aluno!$B$13,ROW(Dados!$A:$A)),ROW(A6)),COLUMN(A6)),"")</f>
        <v/>
      </c>
      <c r="B22" s="10" t="str" cm="1">
        <f t="array" ref="B22">IFERROR(INDEX(Dados!$A:$C,SMALL(IF(Dados!$A:$A=Aluno!$B$13,ROW(Dados!$A:$A)),ROW(B6)),COLUMN(B6)),"")</f>
        <v/>
      </c>
      <c r="C22" s="10" t="str" cm="1">
        <f t="array" ref="C22">IFERROR(INDEX(Dados!$A:$C,SMALL(IF(Dados!$A:$A=Aluno!$B$13,ROW(Dados!$A:$A)),ROW(C6)),COLUMN(C6)),"")</f>
        <v/>
      </c>
    </row>
    <row r="23" spans="1:3" ht="21" x14ac:dyDescent="0.5">
      <c r="A23" s="10" t="str" cm="1">
        <f t="array" ref="A23">IFERROR(INDEX(Dados!$A:$C,SMALL(IF(Dados!$A:$A=Aluno!$B$13,ROW(Dados!$A:$A)),ROW(A7)),COLUMN(A7)),"")</f>
        <v/>
      </c>
      <c r="B23" s="10" t="str" cm="1">
        <f t="array" ref="B23">IFERROR(INDEX(Dados!$A:$C,SMALL(IF(Dados!$A:$A=Aluno!$B$13,ROW(Dados!$A:$A)),ROW(B7)),COLUMN(B7)),"")</f>
        <v/>
      </c>
      <c r="C23" s="10" t="str" cm="1">
        <f t="array" ref="C23">IFERROR(INDEX(Dados!$A:$C,SMALL(IF(Dados!$A:$A=Aluno!$B$13,ROW(Dados!$A:$A)),ROW(C7)),COLUMN(C7)),"")</f>
        <v/>
      </c>
    </row>
    <row r="24" spans="1:3" ht="21" x14ac:dyDescent="0.5">
      <c r="A24" s="10" t="str" cm="1">
        <f t="array" ref="A24">IFERROR(INDEX(Dados!$A:$C,SMALL(IF(Dados!$A:$A=Aluno!$B$13,ROW(Dados!$A:$A)),ROW(A8)),1),"")</f>
        <v/>
      </c>
      <c r="B24" s="10" t="str" cm="1">
        <f t="array" ref="B24">IFERROR(INDEX(Dados!$A$2:$C$17,SMALL(IF(Dados!$A:$A=Aluno!$B$13,ROW(Dados!$A:$A)),ROW(B8)),COLUMN(B8)),"")</f>
        <v/>
      </c>
      <c r="C24" s="10" t="str" cm="1">
        <f t="array" ref="C24">IFERROR(INDEX(Dados!$A$2:$C$17,SMALL(IF(Dados!$A:$A=Aluno!$B$13,ROW(Dados!$A:$A)),ROW(C8)),COLUMN(C8)),"")</f>
        <v/>
      </c>
    </row>
    <row r="25" spans="1:3" ht="21" x14ac:dyDescent="0.5">
      <c r="A25" s="10" t="str" cm="1">
        <f t="array" ref="A25">IFERROR(INDEX(Dados!$A:$C,SMALL(IF(Dados!$A:$A=Aluno!$B$13,ROW(Dados!$A:$A)),ROW(A9)),1),"")</f>
        <v/>
      </c>
      <c r="B25" s="10" t="str" cm="1">
        <f t="array" ref="B25">IFERROR(INDEX(Dados!$A$2:$C$17,SMALL(IF(Dados!$A:$A=Aluno!$B$13,ROW(Dados!$A:$A)),ROW(B9)),COLUMN(B9)),"")</f>
        <v/>
      </c>
      <c r="C25" s="10" t="str" cm="1">
        <f t="array" ref="C25">IFERROR(INDEX(Dados!$A$2:$C$17,SMALL(IF(Dados!$A:$A=Aluno!$B$13,ROW(Dados!$A:$A)),ROW(C9)),COLUMN(C9)),"")</f>
        <v/>
      </c>
    </row>
    <row r="26" spans="1:3" ht="21" x14ac:dyDescent="0.5">
      <c r="A26" s="10" t="str" cm="1">
        <f t="array" ref="A26">IFERROR(INDEX(Dados!$A:$C,SMALL(IF(Dados!$A:$A=Aluno!$B$13,ROW(Dados!$A:$A)),ROW(A10)),1),"")</f>
        <v/>
      </c>
      <c r="B26" s="10" t="str" cm="1">
        <f t="array" ref="B26">IFERROR(INDEX(Dados!$A$2:$C$17,SMALL(IF(Dados!$A:$A=Aluno!$B$13,ROW(Dados!$A:$A)),ROW(B10)),COLUMN(B10)),"")</f>
        <v/>
      </c>
      <c r="C26" s="10" t="str" cm="1">
        <f t="array" ref="C26">IFERROR(INDEX(Dados!$A$2:$C$17,SMALL(IF(Dados!$A:$A=Aluno!$B$13,ROW(Dados!$A:$A)),ROW(C10)),COLUMN(C10)),"")</f>
        <v/>
      </c>
    </row>
  </sheetData>
  <mergeCells count="5">
    <mergeCell ref="B2:K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A1:C17"/>
  <sheetViews>
    <sheetView topLeftCell="A10" zoomScaleNormal="100" workbookViewId="0"/>
  </sheetViews>
  <sheetFormatPr defaultRowHeight="21" x14ac:dyDescent="0.5"/>
  <cols>
    <col min="1" max="1" width="24.54296875" style="7" customWidth="1"/>
    <col min="2" max="2" width="58.1796875" style="7" customWidth="1"/>
    <col min="3" max="3" width="23.36328125" style="9" customWidth="1"/>
  </cols>
  <sheetData>
    <row r="1" spans="1:3" x14ac:dyDescent="0.5">
      <c r="A1" s="16" t="s">
        <v>0</v>
      </c>
      <c r="B1" s="16" t="s">
        <v>19</v>
      </c>
      <c r="C1" s="17" t="s">
        <v>1</v>
      </c>
    </row>
    <row r="2" spans="1:3" x14ac:dyDescent="0.5">
      <c r="A2" s="11" t="s">
        <v>2</v>
      </c>
      <c r="B2" s="11" t="s">
        <v>5</v>
      </c>
      <c r="C2" s="18">
        <v>41.9</v>
      </c>
    </row>
    <row r="3" spans="1:3" x14ac:dyDescent="0.5">
      <c r="A3" s="11" t="s">
        <v>2</v>
      </c>
      <c r="B3" s="11" t="s">
        <v>6</v>
      </c>
      <c r="C3" s="18">
        <v>69.989999999999995</v>
      </c>
    </row>
    <row r="4" spans="1:3" x14ac:dyDescent="0.5">
      <c r="A4" s="11" t="s">
        <v>2</v>
      </c>
      <c r="B4" s="11" t="s">
        <v>7</v>
      </c>
      <c r="C4" s="18">
        <v>81.900000000000006</v>
      </c>
    </row>
    <row r="5" spans="1:3" x14ac:dyDescent="0.5">
      <c r="A5" s="11" t="s">
        <v>2</v>
      </c>
      <c r="B5" s="11" t="s">
        <v>8</v>
      </c>
      <c r="C5" s="18">
        <v>89.99</v>
      </c>
    </row>
    <row r="6" spans="1:3" x14ac:dyDescent="0.5">
      <c r="A6" s="11" t="s">
        <v>2</v>
      </c>
      <c r="B6" s="11" t="s">
        <v>9</v>
      </c>
      <c r="C6" s="18">
        <v>116.52</v>
      </c>
    </row>
    <row r="7" spans="1:3" x14ac:dyDescent="0.5">
      <c r="A7" s="11" t="s">
        <v>2</v>
      </c>
      <c r="B7" s="11" t="s">
        <v>10</v>
      </c>
      <c r="C7" s="18">
        <v>146.13999999999999</v>
      </c>
    </row>
    <row r="8" spans="1:3" x14ac:dyDescent="0.5">
      <c r="A8" s="11" t="s">
        <v>2</v>
      </c>
      <c r="B8" s="11" t="s">
        <v>11</v>
      </c>
      <c r="C8" s="18">
        <v>248.73</v>
      </c>
    </row>
    <row r="9" spans="1:3" x14ac:dyDescent="0.5">
      <c r="A9" s="11" t="s">
        <v>3</v>
      </c>
      <c r="B9" s="11" t="s">
        <v>12</v>
      </c>
      <c r="C9" s="18">
        <v>55.9</v>
      </c>
    </row>
    <row r="10" spans="1:3" x14ac:dyDescent="0.5">
      <c r="A10" s="11" t="s">
        <v>3</v>
      </c>
      <c r="B10" s="11" t="s">
        <v>13</v>
      </c>
      <c r="C10" s="18">
        <v>59.9</v>
      </c>
    </row>
    <row r="11" spans="1:3" x14ac:dyDescent="0.5">
      <c r="A11" s="11" t="s">
        <v>3</v>
      </c>
      <c r="B11" s="11" t="s">
        <v>14</v>
      </c>
      <c r="C11" s="18">
        <v>148.56</v>
      </c>
    </row>
    <row r="12" spans="1:3" x14ac:dyDescent="0.5">
      <c r="A12" s="11" t="s">
        <v>3</v>
      </c>
      <c r="B12" s="11" t="s">
        <v>15</v>
      </c>
      <c r="C12" s="18">
        <v>224.14</v>
      </c>
    </row>
    <row r="13" spans="1:3" x14ac:dyDescent="0.5">
      <c r="A13" s="11" t="s">
        <v>4</v>
      </c>
      <c r="B13" s="11" t="s">
        <v>16</v>
      </c>
      <c r="C13" s="18">
        <v>46.9</v>
      </c>
    </row>
    <row r="14" spans="1:3" x14ac:dyDescent="0.5">
      <c r="A14" s="11" t="s">
        <v>4</v>
      </c>
      <c r="B14" s="11" t="s">
        <v>7</v>
      </c>
      <c r="C14" s="18">
        <v>89.9</v>
      </c>
    </row>
    <row r="15" spans="1:3" x14ac:dyDescent="0.5">
      <c r="A15" s="11" t="s">
        <v>4</v>
      </c>
      <c r="B15" s="11" t="s">
        <v>17</v>
      </c>
      <c r="C15" s="18">
        <v>150.5</v>
      </c>
    </row>
    <row r="16" spans="1:3" x14ac:dyDescent="0.5">
      <c r="A16" s="11" t="s">
        <v>4</v>
      </c>
      <c r="B16" s="11" t="s">
        <v>18</v>
      </c>
      <c r="C16" s="18">
        <v>153.4</v>
      </c>
    </row>
    <row r="17" spans="1:3" x14ac:dyDescent="0.5">
      <c r="A17" s="11" t="s">
        <v>27</v>
      </c>
      <c r="B17" s="11" t="s">
        <v>28</v>
      </c>
      <c r="C17" s="18">
        <v>900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2026-05-11T19:07:35Z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2026-05-11T18:53:31Z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f2a3781b-f062-4a58-b2a2-149052fd360e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
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20" documentId="13_ncr:1_{A2A54577-1F65-4DCF-B2EC-4D2F1AA0CAE4}" xr6:coauthVersionLast="47" xr6:coauthVersionMax="47" xr10:uidLastSave="{DBFBAC14-7D7F-4C5F-9F62-68C84120703B}"/>
  <bookViews>
    <workbookView xWindow="-110" yWindow="-110" windowWidth="19420" windowHeight="11500" activeTab="5" xr2:uid="{1D135085-162F-4F6A-83EE-95534B59CC74}"/>
  </bookViews>
  <sheets>
    <sheet name="Professor" sheetId="11" r:id="rId1"/>
    <sheet name="Fran" sheetId="15" r:id="rId2"/>
    <sheet name="Pedro" sheetId="14" r:id="rId3"/>
    <sheet name="Iasmin" sheetId="13" r:id="rId4"/>
    <sheet name="Ana" sheetId="12" r:id="rId5"/>
    <sheet name="Ana(Aluno)" sheetId="16" r:id="rId6"/>
    <sheet name="Aluno" sheetId="6" r:id="rId7"/>
    <sheet name="Dados" sheetId="1" r:id="rId8"/>
  </sheets>
  <definedNames>
    <definedName name="_xlnm._FilterDatabase" localSheetId="7" hidden="1">Dados!$A$1:$C$16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6" l="1" a="1"/>
  <c r="C11" i="16" s="1"/>
  <c r="B11" i="16" a="1"/>
  <c r="B11" i="16" s="1"/>
  <c r="A11" i="16" a="1"/>
  <c r="A11" i="16" s="1"/>
  <c r="C10" i="16" a="1"/>
  <c r="C10" i="16" s="1"/>
  <c r="B10" i="16" a="1"/>
  <c r="B10" i="16" s="1"/>
  <c r="A10" i="16" a="1"/>
  <c r="A10" i="16" s="1"/>
  <c r="C9" i="16" a="1"/>
  <c r="C9" i="16" s="1"/>
  <c r="B9" i="16" a="1"/>
  <c r="B9" i="16" s="1"/>
  <c r="A9" i="16" a="1"/>
  <c r="A9" i="16" s="1"/>
  <c r="C8" i="16" a="1"/>
  <c r="C8" i="16" s="1"/>
  <c r="B8" i="16" a="1"/>
  <c r="B8" i="16" s="1"/>
  <c r="A8" i="16" a="1"/>
  <c r="A8" i="16" s="1"/>
  <c r="C7" i="16" a="1"/>
  <c r="C7" i="16" s="1"/>
  <c r="B7" i="16" a="1"/>
  <c r="B7" i="16" s="1"/>
  <c r="A7" i="16" a="1"/>
  <c r="A7" i="16" s="1"/>
  <c r="C6" i="16" a="1"/>
  <c r="C6" i="16" s="1"/>
  <c r="B6" i="16" a="1"/>
  <c r="B6" i="16" s="1"/>
  <c r="A6" i="16" a="1"/>
  <c r="A6" i="16" s="1"/>
  <c r="C5" i="16" a="1"/>
  <c r="C5" i="16" s="1"/>
  <c r="B5" i="16" a="1"/>
  <c r="B5" i="16" s="1"/>
  <c r="A5" i="16" a="1"/>
  <c r="A5" i="16" s="1"/>
  <c r="C4" i="16" a="1"/>
  <c r="C4" i="16" s="1"/>
  <c r="B4" i="16" a="1"/>
  <c r="B4" i="16" s="1"/>
  <c r="A4" i="16" a="1"/>
  <c r="A4" i="16" s="1"/>
  <c r="C3" i="16" a="1"/>
  <c r="C3" i="16" s="1"/>
  <c r="B3" i="16" a="1"/>
  <c r="B3" i="16" s="1"/>
  <c r="A3" i="16" a="1"/>
  <c r="A3" i="16" s="1"/>
  <c r="C2" i="16" a="1"/>
  <c r="C2" i="16" s="1"/>
  <c r="B2" i="16" a="1"/>
  <c r="B2" i="16" s="1"/>
  <c r="A2" i="16" a="1"/>
  <c r="A2" i="16" s="1"/>
  <c r="A3" i="6" a="1"/>
  <c r="A3" i="6" s="1"/>
  <c r="B3" i="6" a="1"/>
  <c r="B3" i="6" s="1"/>
  <c r="C3" i="6" a="1"/>
  <c r="C3" i="6" s="1"/>
  <c r="A4" i="6" a="1"/>
  <c r="A4" i="6" s="1"/>
  <c r="B4" i="6" a="1"/>
  <c r="B4" i="6" s="1"/>
  <c r="C4" i="6" a="1"/>
  <c r="C4" i="6" s="1"/>
  <c r="A5" i="6" a="1"/>
  <c r="A5" i="6" s="1"/>
  <c r="B5" i="6" a="1"/>
  <c r="B5" i="6" s="1"/>
  <c r="C5" i="6" a="1"/>
  <c r="C5" i="6" s="1"/>
  <c r="A6" i="6" a="1"/>
  <c r="A6" i="6" s="1"/>
  <c r="B6" i="6" a="1"/>
  <c r="B6" i="6" s="1"/>
  <c r="C6" i="6" a="1"/>
  <c r="C6" i="6" s="1"/>
  <c r="A7" i="6" a="1"/>
  <c r="A7" i="6" s="1"/>
  <c r="B7" i="6" a="1"/>
  <c r="B7" i="6" s="1"/>
  <c r="C7" i="6" a="1"/>
  <c r="C7" i="6" s="1"/>
  <c r="A8" i="6" a="1"/>
  <c r="A8" i="6" s="1"/>
  <c r="B8" i="6" a="1"/>
  <c r="B8" i="6" s="1"/>
  <c r="C8" i="6" a="1"/>
  <c r="C8" i="6" s="1"/>
  <c r="A9" i="6" a="1"/>
  <c r="A9" i="6" s="1"/>
  <c r="B9" i="6" a="1"/>
  <c r="B9" i="6" s="1"/>
  <c r="C9" i="6" a="1"/>
  <c r="C9" i="6" s="1"/>
  <c r="A10" i="6" a="1"/>
  <c r="A10" i="6" s="1"/>
  <c r="B10" i="6" a="1"/>
  <c r="B10" i="6" s="1"/>
  <c r="C10" i="6" a="1"/>
  <c r="C10" i="6" s="1"/>
  <c r="A11" i="6" a="1"/>
  <c r="A11" i="6" s="1"/>
  <c r="B11" i="6" a="1"/>
  <c r="B11" i="6" s="1"/>
  <c r="C11" i="6" a="1"/>
  <c r="C11" i="6" s="1"/>
  <c r="C2" i="6" a="1"/>
  <c r="C2" i="6" s="1"/>
  <c r="B2" i="6" a="1"/>
  <c r="B2" i="6" s="1"/>
  <c r="A2" i="6" a="1"/>
  <c r="A2" i="6" s="1"/>
  <c r="C11" i="15" a="1"/>
  <c r="C11" i="15" s="1"/>
  <c r="B11" i="15" a="1"/>
  <c r="B11" i="15" s="1"/>
  <c r="A11" i="15" a="1"/>
  <c r="A11" i="15" s="1"/>
  <c r="C10" i="15" a="1"/>
  <c r="C10" i="15" s="1"/>
  <c r="B10" i="15" a="1"/>
  <c r="B10" i="15" s="1"/>
  <c r="A10" i="15" a="1"/>
  <c r="A10" i="15" s="1"/>
  <c r="C9" i="15" a="1"/>
  <c r="C9" i="15" s="1"/>
  <c r="B9" i="15" a="1"/>
  <c r="B9" i="15" s="1"/>
  <c r="A9" i="15" a="1"/>
  <c r="A9" i="15" s="1"/>
  <c r="C8" i="15" a="1"/>
  <c r="C8" i="15" s="1"/>
  <c r="B8" i="15" a="1"/>
  <c r="B8" i="15" s="1"/>
  <c r="A8" i="15" a="1"/>
  <c r="A8" i="15" s="1"/>
  <c r="C7" i="15" a="1"/>
  <c r="C7" i="15" s="1"/>
  <c r="B7" i="15" a="1"/>
  <c r="B7" i="15" s="1"/>
  <c r="A7" i="15" a="1"/>
  <c r="A7" i="15" s="1"/>
  <c r="C6" i="15" a="1"/>
  <c r="C6" i="15" s="1"/>
  <c r="B6" i="15" a="1"/>
  <c r="B6" i="15" s="1"/>
  <c r="A6" i="15" a="1"/>
  <c r="A6" i="15" s="1"/>
  <c r="C5" i="15" a="1"/>
  <c r="C5" i="15" s="1"/>
  <c r="B5" i="15" a="1"/>
  <c r="B5" i="15" s="1"/>
  <c r="A5" i="15" a="1"/>
  <c r="A5" i="15" s="1"/>
  <c r="C4" i="15" a="1"/>
  <c r="C4" i="15" s="1"/>
  <c r="B4" i="15" a="1"/>
  <c r="B4" i="15" s="1"/>
  <c r="A4" i="15" a="1"/>
  <c r="A4" i="15" s="1"/>
  <c r="C3" i="15" a="1"/>
  <c r="C3" i="15" s="1"/>
  <c r="B3" i="15" a="1"/>
  <c r="B3" i="15" s="1"/>
  <c r="A3" i="15" a="1"/>
  <c r="A3" i="15" s="1"/>
  <c r="C2" i="15" a="1"/>
  <c r="C2" i="15" s="1"/>
  <c r="B2" i="15" a="1"/>
  <c r="B2" i="15" s="1"/>
  <c r="A2" i="15" a="1"/>
  <c r="A2" i="15" s="1"/>
  <c r="C11" i="14" a="1"/>
  <c r="C11" i="14" s="1"/>
  <c r="B11" i="14" a="1"/>
  <c r="B11" i="14" s="1"/>
  <c r="A11" i="14" a="1"/>
  <c r="A11" i="14" s="1"/>
  <c r="C10" i="14" a="1"/>
  <c r="C10" i="14" s="1"/>
  <c r="B10" i="14" a="1"/>
  <c r="B10" i="14" s="1"/>
  <c r="A10" i="14" a="1"/>
  <c r="A10" i="14" s="1"/>
  <c r="C9" i="14" a="1"/>
  <c r="C9" i="14" s="1"/>
  <c r="B9" i="14" a="1"/>
  <c r="B9" i="14" s="1"/>
  <c r="A9" i="14" a="1"/>
  <c r="A9" i="14" s="1"/>
  <c r="C8" i="14" a="1"/>
  <c r="C8" i="14" s="1"/>
  <c r="B8" i="14" a="1"/>
  <c r="B8" i="14" s="1"/>
  <c r="A8" i="14" a="1"/>
  <c r="A8" i="14" s="1"/>
  <c r="C7" i="14" a="1"/>
  <c r="C7" i="14" s="1"/>
  <c r="B7" i="14" a="1"/>
  <c r="B7" i="14" s="1"/>
  <c r="A7" i="14" a="1"/>
  <c r="A7" i="14" s="1"/>
  <c r="C6" i="14" a="1"/>
  <c r="C6" i="14" s="1"/>
  <c r="B6" i="14" a="1"/>
  <c r="B6" i="14" s="1"/>
  <c r="A6" i="14" a="1"/>
  <c r="A6" i="14" s="1"/>
  <c r="C5" i="14" a="1"/>
  <c r="C5" i="14" s="1"/>
  <c r="B5" i="14" a="1"/>
  <c r="B5" i="14" s="1"/>
  <c r="A5" i="14" a="1"/>
  <c r="A5" i="14" s="1"/>
  <c r="C4" i="14" a="1"/>
  <c r="C4" i="14" s="1"/>
  <c r="B4" i="14" a="1"/>
  <c r="B4" i="14" s="1"/>
  <c r="A4" i="14" a="1"/>
  <c r="A4" i="14" s="1"/>
  <c r="C3" i="14" a="1"/>
  <c r="C3" i="14" s="1"/>
  <c r="B3" i="14" a="1"/>
  <c r="B3" i="14" s="1"/>
  <c r="A3" i="14" a="1"/>
  <c r="A3" i="14" s="1"/>
  <c r="C2" i="14" a="1"/>
  <c r="C2" i="14" s="1"/>
  <c r="B2" i="14" a="1"/>
  <c r="B2" i="14" s="1"/>
  <c r="A2" i="14" a="1"/>
  <c r="A2" i="14" s="1"/>
  <c r="C11" i="13" a="1"/>
  <c r="C11" i="13" s="1"/>
  <c r="B11" i="13" a="1"/>
  <c r="B11" i="13" s="1"/>
  <c r="A11" i="13" a="1"/>
  <c r="A11" i="13" s="1"/>
  <c r="C10" i="13" a="1"/>
  <c r="C10" i="13" s="1"/>
  <c r="B10" i="13" a="1"/>
  <c r="B10" i="13" s="1"/>
  <c r="A10" i="13" a="1"/>
  <c r="A10" i="13" s="1"/>
  <c r="C9" i="13" a="1"/>
  <c r="C9" i="13" s="1"/>
  <c r="B9" i="13" a="1"/>
  <c r="B9" i="13" s="1"/>
  <c r="A9" i="13" a="1"/>
  <c r="A9" i="13" s="1"/>
  <c r="C8" i="13" a="1"/>
  <c r="C8" i="13" s="1"/>
  <c r="B8" i="13" a="1"/>
  <c r="B8" i="13" s="1"/>
  <c r="A8" i="13" a="1"/>
  <c r="A8" i="13" s="1"/>
  <c r="C7" i="13" a="1"/>
  <c r="C7" i="13" s="1"/>
  <c r="B7" i="13" a="1"/>
  <c r="B7" i="13" s="1"/>
  <c r="A7" i="13" a="1"/>
  <c r="A7" i="13" s="1"/>
  <c r="C6" i="13" a="1"/>
  <c r="C6" i="13" s="1"/>
  <c r="B6" i="13" a="1"/>
  <c r="B6" i="13" s="1"/>
  <c r="A6" i="13" a="1"/>
  <c r="A6" i="13" s="1"/>
  <c r="C5" i="13" a="1"/>
  <c r="C5" i="13" s="1"/>
  <c r="B5" i="13" a="1"/>
  <c r="B5" i="13" s="1"/>
  <c r="A5" i="13" a="1"/>
  <c r="A5" i="13" s="1"/>
  <c r="C4" i="13" a="1"/>
  <c r="C4" i="13" s="1"/>
  <c r="B4" i="13" a="1"/>
  <c r="B4" i="13" s="1"/>
  <c r="A4" i="13" a="1"/>
  <c r="A4" i="13" s="1"/>
  <c r="C3" i="13" a="1"/>
  <c r="C3" i="13" s="1"/>
  <c r="B3" i="13" a="1"/>
  <c r="B3" i="13" s="1"/>
  <c r="A3" i="13" a="1"/>
  <c r="A3" i="13" s="1"/>
  <c r="C2" i="13" a="1"/>
  <c r="C2" i="13" s="1"/>
  <c r="B2" i="13" a="1"/>
  <c r="B2" i="13" s="1"/>
  <c r="A2" i="13" a="1"/>
  <c r="A2" i="13" s="1"/>
  <c r="C11" i="12" a="1"/>
  <c r="C11" i="12" s="1"/>
  <c r="B11" i="12" a="1"/>
  <c r="B11" i="12" s="1"/>
  <c r="A11" i="12" a="1"/>
  <c r="A11" i="12" s="1"/>
  <c r="C10" i="12" a="1"/>
  <c r="C10" i="12" s="1"/>
  <c r="B10" i="12" a="1"/>
  <c r="B10" i="12" s="1"/>
  <c r="A10" i="12" a="1"/>
  <c r="A10" i="12" s="1"/>
  <c r="C9" i="12" a="1"/>
  <c r="C9" i="12" s="1"/>
  <c r="B9" i="12" a="1"/>
  <c r="B9" i="12" s="1"/>
  <c r="A9" i="12" a="1"/>
  <c r="A9" i="12" s="1"/>
  <c r="C8" i="12" a="1"/>
  <c r="C8" i="12" s="1"/>
  <c r="B8" i="12" a="1"/>
  <c r="B8" i="12" s="1"/>
  <c r="A8" i="12" a="1"/>
  <c r="A8" i="12" s="1"/>
  <c r="C7" i="12" a="1"/>
  <c r="C7" i="12" s="1"/>
  <c r="B7" i="12" a="1"/>
  <c r="B7" i="12" s="1"/>
  <c r="A7" i="12" a="1"/>
  <c r="A7" i="12" s="1"/>
  <c r="C6" i="12" a="1"/>
  <c r="C6" i="12" s="1"/>
  <c r="B6" i="12" a="1"/>
  <c r="B6" i="12" s="1"/>
  <c r="A6" i="12" a="1"/>
  <c r="A6" i="12" s="1"/>
  <c r="C5" i="12" a="1"/>
  <c r="C5" i="12" s="1"/>
  <c r="B5" i="12" a="1"/>
  <c r="B5" i="12" s="1"/>
  <c r="A5" i="12" a="1"/>
  <c r="A5" i="12" s="1"/>
  <c r="C4" i="12" a="1"/>
  <c r="C4" i="12" s="1"/>
  <c r="B4" i="12" a="1"/>
  <c r="B4" i="12" s="1"/>
  <c r="A4" i="12" a="1"/>
  <c r="A4" i="12" s="1"/>
  <c r="C3" i="12" a="1"/>
  <c r="C3" i="12" s="1"/>
  <c r="B3" i="12" a="1"/>
  <c r="B3" i="12" s="1"/>
  <c r="A3" i="12" a="1"/>
  <c r="A3" i="12" s="1"/>
  <c r="C2" i="12" a="1"/>
  <c r="C2" i="12" s="1"/>
  <c r="B2" i="12" a="1"/>
  <c r="B2" i="12" s="1"/>
  <c r="A2" i="12" a="1"/>
  <c r="A2" i="12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2" i="11" a="1"/>
  <c r="C2" i="11" s="1"/>
  <c r="B3" i="11" a="1"/>
  <c r="B3" i="11" s="1"/>
  <c r="B4" i="11" a="1"/>
  <c r="B4" i="11" s="1"/>
  <c r="B5" i="11" a="1"/>
  <c r="B5" i="11" s="1"/>
  <c r="B6" i="11" a="1"/>
  <c r="B6" i="11" s="1"/>
  <c r="B7" i="11" a="1"/>
  <c r="B7" i="11" s="1"/>
  <c r="B8" i="11" a="1"/>
  <c r="B8" i="11" s="1"/>
  <c r="B9" i="11" a="1"/>
  <c r="B9" i="11" s="1"/>
  <c r="B10" i="11" a="1"/>
  <c r="B10" i="11" s="1"/>
  <c r="B11" i="11" a="1"/>
  <c r="B11" i="11" s="1"/>
  <c r="B2" i="11" a="1"/>
  <c r="B2" i="11" s="1"/>
  <c r="A4" i="11" a="1"/>
  <c r="A4" i="11" s="1"/>
  <c r="A3" i="11" a="1"/>
  <c r="A3" i="11" s="1"/>
  <c r="A5" i="11" a="1"/>
  <c r="A5" i="11" s="1"/>
  <c r="A6" i="11" a="1"/>
  <c r="A6" i="11" s="1"/>
  <c r="A7" i="11" a="1"/>
  <c r="A7" i="11" s="1"/>
  <c r="A8" i="11" a="1"/>
  <c r="A8" i="11" s="1"/>
  <c r="A9" i="11" a="1"/>
  <c r="A9" i="11" s="1"/>
  <c r="A10" i="11" a="1"/>
  <c r="A10" i="11" s="1"/>
  <c r="A11" i="11" a="1"/>
  <c r="A11" i="11" s="1"/>
  <c r="A2" i="11" a="1"/>
  <c r="A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<sst xmlns="http://schemas.openxmlformats.org/spreadsheetml/2006/main" count="58" uniqueCount="23">
  <si>
    <t>Cliente</t>
  </si>
  <si>
    <t>Valor</t>
  </si>
  <si>
    <t>Ana</t>
  </si>
  <si>
    <t>Iasmin</t>
  </si>
  <si>
    <t>Pedro</t>
  </si>
  <si>
    <t>Tênis Feminino</t>
  </si>
  <si>
    <t>Calça Feminina Jogger</t>
  </si>
  <si>
    <t>Sapato Social</t>
  </si>
  <si>
    <t>Bermuda Masculino</t>
  </si>
  <si>
    <t>Camisa Masculina Festa Balada</t>
  </si>
  <si>
    <t>Bota Masculina</t>
  </si>
  <si>
    <t>Jaqueta Masculina Preta</t>
  </si>
  <si>
    <t>Bolsa de Trabalho</t>
  </si>
  <si>
    <t>Kit de Pinceis de Maquiagem</t>
  </si>
  <si>
    <t>Vestido Infantil</t>
  </si>
  <si>
    <t>Camisa Masculina</t>
  </si>
  <si>
    <t>Camisa Térmica</t>
  </si>
  <si>
    <t>Sapatilha Sapato</t>
  </si>
  <si>
    <t>Colar Pingente</t>
  </si>
  <si>
    <t>Produto</t>
  </si>
  <si>
    <t>Fran</t>
  </si>
  <si>
    <t>Jóias</t>
  </si>
  <si>
    <t>Sapato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</si>
</sst>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quotePrefix="1" applyFont="1" applyBorder="1"/>
    <xf numFmtId="0" fontId="1" fillId="0" borderId="2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930B-A611-4953-86DA-9EFD3E68918C}">
  <dimension ref="A1:C11"/>
  <sheetViews>
    <sheetView showGridLines="0" workbookViewId="0">
      <selection activeCell="B13" sqref="B13"/>
    </sheetView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>
        <f t="array" ref="A2">IFERROR(INDEX(Dados!$A:$C,SMALL(IF(Dados!$A:$A="Ana",ROW(Dados!$A:$A)),ROW(A1)),1),"")</f>
        <v>Ana</v>
      </c>
      <c r="B2" s="5" t="str">
        <f t="array" ref="B2">IFERROR(INDEX(Dados!$A:$C,SMALL(IF(Dados!$A:$A="Ana",ROW(Dados!$A:$A)),ROW(B1)),2),"")</f>
        <v>Tênis Feminino</v>
      </c>
      <c r="C2" s="5">
        <f t="array" ref="C2">IFERROR(INDEX(Dados!$A:$C,SMALL(IF(Dados!$A:$A="Ana",ROW(Dados!$A:$A)),ROW(C1)),3),"")</f>
        <v>41.9</v>
      </c>
    </row>
    <row r="3" spans="1:3" ht="21" x14ac:dyDescent="0.5">
      <c r="A3" s="5" t="str">
        <f t="array" ref="A3">IFERROR(INDEX(Dados!$A:$C,SMALL(IF(Dados!$A:$A="Ana",ROW(Dados!$A:$A)),ROW(A2)),1),"")</f>
        <v>Ana</v>
      </c>
      <c r="B3" s="5" t="str">
        <f t="array" ref="B3">IFERROR(INDEX(Dados!$A:$C,SMALL(IF(Dados!$A:$A="Ana",ROW(Dados!$A:$A)),ROW(B2)),2),"")</f>
        <v>Calça Feminina Jogger</v>
      </c>
      <c r="C3" s="5">
        <f t="array" ref="C3">IFERROR(INDEX(Dados!$A:$C,SMALL(IF(Dados!$A:$A="Ana",ROW(Dados!$A:$A)),ROW(C2)),3),"")</f>
        <v>69.989999999999995</v>
      </c>
    </row>
    <row r="4" spans="1:3" ht="21" x14ac:dyDescent="0.5">
      <c r="A4" s="5" t="str">
        <f t="array" ref="A4">IFERROR(INDEX(Dados!$A:$C,SMALL(IF(Dados!$A:$A="Ana",ROW(Dados!$A:$A)),ROW(A3)),1),"")</f>
        <v>Ana</v>
      </c>
      <c r="B4" s="5" t="str">
        <f t="array" ref="B4">IFERROR(INDEX(Dados!$A:$C,SMALL(IF(Dados!$A:$A="Ana",ROW(Dados!$A:$A)),ROW(B3)),2),"")</f>
        <v>Sapato Social</v>
      </c>
      <c r="C4" s="5">
        <f t="array" ref="C4">IFERROR(INDEX(Dados!$A:$C,SMALL(IF(Dados!$A:$A="Ana",ROW(Dados!$A:$A)),ROW(C3)),3),"")</f>
        <v>81.900000000000006</v>
      </c>
    </row>
    <row r="5" spans="1:3" ht="21" x14ac:dyDescent="0.5">
      <c r="A5" s="5" t="str">
        <f t="array" ref="A5">IFERROR(INDEX(Dados!$A:$C,SMALL(IF(Dados!$A:$A="Ana",ROW(Dados!$A:$A)),ROW(A4)),1),"")</f>
        <v>Ana</v>
      </c>
      <c r="B5" s="5" t="str">
        <f t="array" ref="B5">IFERROR(INDEX(Dados!$A:$C,SMALL(IF(Dados!$A:$A="Ana",ROW(Dados!$A:$A)),ROW(B4)),2),"")</f>
        <v>Bermuda Masculino</v>
      </c>
      <c r="C5" s="5">
        <f t="array" ref="C5">IFERROR(INDEX(Dados!$A:$C,SMALL(IF(Dados!$A:$A="Ana",ROW(Dados!$A:$A)),ROW(C4)),3),"")</f>
        <v>89.99</v>
      </c>
    </row>
    <row r="6" spans="1:3" ht="21" x14ac:dyDescent="0.5">
      <c r="A6" s="5" t="str">
        <f t="array" ref="A6">IFERROR(INDEX(Dados!$A:$C,SMALL(IF(Dados!$A:$A="Ana",ROW(Dados!$A:$A)),ROW(A5)),1),"")</f>
        <v>Ana</v>
      </c>
      <c r="B6" s="5" t="str">
        <f t="array" ref="B6">IFERROR(INDEX(Dados!$A:$C,SMALL(IF(Dados!$A:$A="Ana",ROW(Dados!$A:$A)),ROW(B5)),2),"")</f>
        <v>Camisa Masculina Festa Balada</v>
      </c>
      <c r="C6" s="5">
        <f t="array" ref="C6">IFERROR(INDEX(Dados!$A:$C,SMALL(IF(Dados!$A:$A="Ana",ROW(Dados!$A:$A)),ROW(C5)),3),"")</f>
        <v>116.52</v>
      </c>
    </row>
    <row r="7" spans="1:3" ht="21" x14ac:dyDescent="0.5">
      <c r="A7" s="5" t="str">
        <f t="array" ref="A7">IFERROR(INDEX(Dados!$A:$C,SMALL(IF(Dados!$A:$A="Ana",ROW(Dados!$A:$A)),ROW(A6)),1),"")</f>
        <v>Ana</v>
      </c>
      <c r="B7" s="5" t="str">
        <f t="array" ref="B7">IFERROR(INDEX(Dados!$A:$C,SMALL(IF(Dados!$A:$A="Ana",ROW(Dados!$A:$A)),ROW(B6)),2),"")</f>
        <v>Bota Masculina</v>
      </c>
      <c r="C7" s="5">
        <f t="array" ref="C7">IFERROR(INDEX(Dados!$A:$C,SMALL(IF(Dados!$A:$A="Ana",ROW(Dados!$A:$A)),ROW(C6)),3),"")</f>
        <v>146.13999999999999</v>
      </c>
    </row>
    <row r="8" spans="1:3" ht="21" x14ac:dyDescent="0.5">
      <c r="A8" s="5" t="str">
        <f t="array" ref="A8">IFERROR(INDEX(Dados!$A:$C,SMALL(IF(Dados!$A:$A="Ana",ROW(Dados!$A:$A)),ROW(A7)),1),"")</f>
        <v>Ana</v>
      </c>
      <c r="B8" s="5" t="str">
        <f t="array" ref="B8">IFERROR(INDEX(Dados!$A:$C,SMALL(IF(Dados!$A:$A="Ana",ROW(Dados!$A:$A)),ROW(B7)),2),"")</f>
        <v>Jaqueta Masculina Preta</v>
      </c>
      <c r="C8" s="5">
        <f t="array" ref="C8">IFERROR(INDEX(Dados!$A:$C,SMALL(IF(Dados!$A:$A="Ana",ROW(Dados!$A:$A)),ROW(C7)),3),"")</f>
        <v>248.73</v>
      </c>
    </row>
    <row r="9" spans="1:3" ht="21" x14ac:dyDescent="0.5">
      <c r="A9" s="5" t="str">
        <f t="array" ref="A9">IFERROR(INDEX(Dados!$A:$C,SMALL(IF(Dados!$A:$A="Ana",ROW(Dados!$A:$A)),ROW(A8)),1),"")</f>
        <v/>
      </c>
      <c r="B9" s="5" t="str">
        <f t="array" ref="B9">IFERROR(INDEX(Dados!$A:$C,SMALL(IF(Dados!$A:$A="Ana",ROW(Dados!$A:$A)),ROW(B8)),2),"")</f>
        <v/>
      </c>
      <c r="C9" s="5" t="str">
        <f t="array" ref="C9">IFERROR(INDEX(Dados!$A:$C,SMALL(IF(Dados!$A:$A="Ana",ROW(Dados!$A:$A)),ROW(C8)),3),"")</f>
        <v/>
      </c>
    </row>
    <row r="10" spans="1:3" ht="21" x14ac:dyDescent="0.5">
      <c r="A10" s="5" t="str">
        <f t="array" ref="A10">IFERROR(INDEX(Dados!$A:$C,SMALL(IF(Dados!$A:$A="Ana",ROW(Dados!$A:$A)),ROW(A9)),1),"")</f>
        <v/>
      </c>
      <c r="B10" s="5" t="str">
        <f t="array" ref="B10">IFERROR(INDEX(Dados!$A:$C,SMALL(IF(Dados!$A:$A="Ana",ROW(Dados!$A:$A)),ROW(B9)),2),"")</f>
        <v/>
      </c>
      <c r="C10" s="5" t="str">
        <f t="array" ref="C10">IFERROR(INDEX(Dados!$A:$C,SMALL(IF(Dados!$A:$A="Ana",ROW(Dados!$A:$A)),ROW(C9)),3),"")</f>
        <v/>
      </c>
    </row>
    <row r="11" spans="1:3" ht="21" x14ac:dyDescent="0.5">
      <c r="A11" s="5" t="str">
        <f t="array" ref="A11">IFERROR(INDEX(Dados!$A:$C,SMALL(IF(Dados!$A:$A="Ana",ROW(Dados!$A:$A)),ROW(A10)),1),"")</f>
        <v/>
      </c>
      <c r="B11" s="5" t="str">
        <f t="array" ref="B11">IFERROR(INDEX(Dados!$A:$C,SMALL(IF(Dados!$A:$A="Ana",ROW(Dados!$A:$A)),ROW(B10)),2),"")</f>
        <v/>
      </c>
      <c r="C11" s="5" t="str">
        <f t="array" ref="C11">IFERROR(INDEX(Dados!$A:$C,SMALL(IF(Dados!$A:$A="Ana",ROW(Dados!$A:$A)),ROW(C10)),3),"")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B13D-F246-41F7-AE69-D9048B5EB6EC}">
  <dimension ref="A1:C11"/>
  <sheetViews>
    <sheetView showGridLines="0" workbookViewId="0"/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>
        <f t="array" ref="A2">IFERROR(INDEX(Dados!$A:$C,SMALL(IF(Dados!$A:$A="Fran",ROW(Dados!$A:$A)),ROW(A1)),1),"")</f>
        <v>Fran</v>
      </c>
      <c r="B2" s="5" t="str">
        <f t="array" ref="B2">IFERROR(INDEX(Dados!$A:$C,SMALL(IF(Dados!$A:$A="Fran",ROW(Dados!$A:$A)),ROW(B1)),2),"")</f>
        <v>Jóias</v>
      </c>
      <c r="C2" s="5">
        <f t="array" ref="C2">IFERROR(INDEX(Dados!$A:$C,SMALL(IF(Dados!$A:$A="Fran",ROW(Dados!$A:$A)),ROW(C1)),3),"")</f>
        <v>900</v>
      </c>
    </row>
    <row r="3" spans="1:3" ht="21" x14ac:dyDescent="0.5">
      <c r="A3" s="5" t="str">
        <f t="array" ref="A3">IFERROR(INDEX(Dados!$A:$C,SMALL(IF(Dados!$A:$A="Fran",ROW(Dados!$A:$A)),ROW(A2)),1),"")</f>
        <v>Fran</v>
      </c>
      <c r="B3" s="5" t="str">
        <f t="array" ref="B3">IFERROR(INDEX(Dados!$A:$C,SMALL(IF(Dados!$A:$A="Fran",ROW(Dados!$A:$A)),ROW(B2)),2),"")</f>
        <v>Sapato</v>
      </c>
      <c r="C3" s="5">
        <f t="array" ref="C3">IFERROR(INDEX(Dados!$A:$C,SMALL(IF(Dados!$A:$A="Fran",ROW(Dados!$A:$A)),ROW(C2)),3),"")</f>
        <v>300</v>
      </c>
    </row>
    <row r="4" spans="1:3" ht="21" x14ac:dyDescent="0.5">
      <c r="A4" s="5" t="str">
        <f t="array" ref="A4">IFERROR(INDEX(Dados!$A:$C,SMALL(IF(Dados!$A:$A="Fran",ROW(Dados!$A:$A)),ROW(A3)),1),"")</f>
        <v/>
      </c>
      <c r="B4" s="5" t="str">
        <f t="array" ref="B4">IFERROR(INDEX(Dados!$A:$C,SMALL(IF(Dados!$A:$A="Fran",ROW(Dados!$A:$A)),ROW(B3)),2),"")</f>
        <v/>
      </c>
      <c r="C4" s="5" t="str">
        <f t="array" ref="C4">IFERROR(INDEX(Dados!$A:$C,SMALL(IF(Dados!$A:$A="Fran",ROW(Dados!$A:$A)),ROW(C3)),3),"")</f>
        <v/>
      </c>
    </row>
    <row r="5" spans="1:3" ht="21" x14ac:dyDescent="0.5">
      <c r="A5" s="5" t="str">
        <f t="array" ref="A5">IFERROR(INDEX(Dados!$A:$C,SMALL(IF(Dados!$A:$A="Fran",ROW(Dados!$A:$A)),ROW(A4)),1),"")</f>
        <v/>
      </c>
      <c r="B5" s="5" t="str">
        <f t="array" ref="B5">IFERROR(INDEX(Dados!$A:$C,SMALL(IF(Dados!$A:$A="Fran",ROW(Dados!$A:$A)),ROW(B4)),2),"")</f>
        <v/>
      </c>
      <c r="C5" s="5" t="str">
        <f t="array" ref="C5">IFERROR(INDEX(Dados!$A:$C,SMALL(IF(Dados!$A:$A="Fran",ROW(Dados!$A:$A)),ROW(C4)),3),"")</f>
        <v/>
      </c>
    </row>
    <row r="6" spans="1:3" ht="21" x14ac:dyDescent="0.5">
      <c r="A6" s="5" t="str">
        <f t="array" ref="A6">IFERROR(INDEX(Dados!$A:$C,SMALL(IF(Dados!$A:$A="Fran",ROW(Dados!$A:$A)),ROW(A5)),1),"")</f>
        <v/>
      </c>
      <c r="B6" s="5" t="str">
        <f t="array" ref="B6">IFERROR(INDEX(Dados!$A:$C,SMALL(IF(Dados!$A:$A="Fran",ROW(Dados!$A:$A)),ROW(B5)),2),"")</f>
        <v/>
      </c>
      <c r="C6" s="5" t="str">
        <f t="array" ref="C6">IFERROR(INDEX(Dados!$A:$C,SMALL(IF(Dados!$A:$A="Fran",ROW(Dados!$A:$A)),ROW(C5)),3),"")</f>
        <v/>
      </c>
    </row>
    <row r="7" spans="1:3" ht="21" x14ac:dyDescent="0.5">
      <c r="A7" s="5" t="str">
        <f t="array" ref="A7">IFERROR(INDEX(Dados!$A:$C,SMALL(IF(Dados!$A:$A="Fran",ROW(Dados!$A:$A)),ROW(A6)),1),"")</f>
        <v/>
      </c>
      <c r="B7" s="5" t="str">
        <f t="array" ref="B7">IFERROR(INDEX(Dados!$A:$C,SMALL(IF(Dados!$A:$A="Fran",ROW(Dados!$A:$A)),ROW(B6)),2),"")</f>
        <v/>
      </c>
      <c r="C7" s="5" t="str">
        <f t="array" ref="C7">IFERROR(INDEX(Dados!$A:$C,SMALL(IF(Dados!$A:$A="Fran",ROW(Dados!$A:$A)),ROW(C6)),3),"")</f>
        <v/>
      </c>
    </row>
    <row r="8" spans="1:3" ht="21" x14ac:dyDescent="0.5">
      <c r="A8" s="5" t="str">
        <f t="array" ref="A8">IFERROR(INDEX(Dados!$A:$C,SMALL(IF(Dados!$A:$A="Fran",ROW(Dados!$A:$A)),ROW(A7)),1),"")</f>
        <v/>
      </c>
      <c r="B8" s="5" t="str">
        <f t="array" ref="B8">IFERROR(INDEX(Dados!$A:$C,SMALL(IF(Dados!$A:$A="Fran",ROW(Dados!$A:$A)),ROW(B7)),2),"")</f>
        <v/>
      </c>
      <c r="C8" s="5" t="str">
        <f t="array" ref="C8">IFERROR(INDEX(Dados!$A:$C,SMALL(IF(Dados!$A:$A="Fran",ROW(Dados!$A:$A)),ROW(C7)),3),"")</f>
        <v/>
      </c>
    </row>
    <row r="9" spans="1:3" ht="21" x14ac:dyDescent="0.5">
      <c r="A9" s="5" t="str">
        <f t="array" ref="A9">IFERROR(INDEX(Dados!$A:$C,SMALL(IF(Dados!$A:$A="Fran",ROW(Dados!$A:$A)),ROW(A8)),1),"")</f>
        <v/>
      </c>
      <c r="B9" s="5" t="str">
        <f t="array" ref="B9">IFERROR(INDEX(Dados!$A:$C,SMALL(IF(Dados!$A:$A="Fran",ROW(Dados!$A:$A)),ROW(B8)),2),"")</f>
        <v/>
      </c>
      <c r="C9" s="5" t="str">
        <f t="array" ref="C9">IFERROR(INDEX(Dados!$A:$C,SMALL(IF(Dados!$A:$A="Fran",ROW(Dados!$A:$A)),ROW(C8)),3),"")</f>
        <v/>
      </c>
    </row>
    <row r="10" spans="1:3" ht="21" x14ac:dyDescent="0.5">
      <c r="A10" s="5" t="str">
        <f t="array" ref="A10">IFERROR(INDEX(Dados!$A:$C,SMALL(IF(Dados!$A:$A="Fran",ROW(Dados!$A:$A)),ROW(A9)),1),"")</f>
        <v/>
      </c>
      <c r="B10" s="5" t="str">
        <f t="array" ref="B10">IFERROR(INDEX(Dados!$A:$C,SMALL(IF(Dados!$A:$A="Fran",ROW(Dados!$A:$A)),ROW(B9)),2),"")</f>
        <v/>
      </c>
      <c r="C10" s="5" t="str">
        <f t="array" ref="C10">IFERROR(INDEX(Dados!$A:$C,SMALL(IF(Dados!$A:$A="Fran",ROW(Dados!$A:$A)),ROW(C9)),3),"")</f>
        <v/>
      </c>
    </row>
    <row r="11" spans="1:3" ht="21" x14ac:dyDescent="0.5">
      <c r="A11" s="5" t="str">
        <f t="array" ref="A11">IFERROR(INDEX(Dados!$A:$C,SMALL(IF(Dados!$A:$A="Fran",ROW(Dados!$A:$A)),ROW(A10)),1),"")</f>
        <v/>
      </c>
      <c r="B11" s="5" t="str">
        <f t="array" ref="B11">IFERROR(INDEX(Dados!$A:$C,SMALL(IF(Dados!$A:$A="Fran",ROW(Dados!$A:$A)),ROW(B10)),2),"")</f>
        <v/>
      </c>
      <c r="C11" s="5" t="str">
        <f t="array" ref="C11">IFERROR(INDEX(Dados!$A:$C,SMALL(IF(Dados!$A:$A="Fran",ROW(Dados!$A:$A)),ROW(C10)),3),"")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DD07-6820-4FD8-BDBE-BD79AC03F1BB}">
  <dimension ref="A1:C11"/>
  <sheetViews>
    <sheetView showGridLines="0" workbookViewId="0"/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>
        <f t="array" ref="A2">IFERROR(INDEX(Dados!$A:$C,SMALL(IF(Dados!$A:$A="Pedro",ROW(Dados!$A:$A)),ROW(A1)),1),"")</f>
        <v>Pedro</v>
      </c>
      <c r="B2" s="5" t="str">
        <f t="array" ref="B2">IFERROR(INDEX(Dados!$A:$C,SMALL(IF(Dados!$A:$A="Pedro",ROW(Dados!$A:$A)),ROW(B1)),2),"")</f>
        <v>Camisa Térmica</v>
      </c>
      <c r="C2" s="5">
        <f t="array" ref="C2">IFERROR(INDEX(Dados!$A:$C,SMALL(IF(Dados!$A:$A="Pedro",ROW(Dados!$A:$A)),ROW(C1)),3),"")</f>
        <v>46.9</v>
      </c>
    </row>
    <row r="3" spans="1:3" ht="21" x14ac:dyDescent="0.5">
      <c r="A3" s="5" t="str">
        <f t="array" ref="A3">IFERROR(INDEX(Dados!$A:$C,SMALL(IF(Dados!$A:$A="Pedro",ROW(Dados!$A:$A)),ROW(A2)),1),"")</f>
        <v>Pedro</v>
      </c>
      <c r="B3" s="5" t="str">
        <f t="array" ref="B3">IFERROR(INDEX(Dados!$A:$C,SMALL(IF(Dados!$A:$A="Pedro",ROW(Dados!$A:$A)),ROW(B2)),2),"")</f>
        <v>Sapato Social</v>
      </c>
      <c r="C3" s="5">
        <f t="array" ref="C3">IFERROR(INDEX(Dados!$A:$C,SMALL(IF(Dados!$A:$A="Pedro",ROW(Dados!$A:$A)),ROW(C2)),3),"")</f>
        <v>89.9</v>
      </c>
    </row>
    <row r="4" spans="1:3" ht="21" x14ac:dyDescent="0.5">
      <c r="A4" s="5" t="str">
        <f t="array" ref="A4">IFERROR(INDEX(Dados!$A:$C,SMALL(IF(Dados!$A:$A="Pedro",ROW(Dados!$A:$A)),ROW(A3)),1),"")</f>
        <v>Pedro</v>
      </c>
      <c r="B4" s="5" t="str">
        <f t="array" ref="B4">IFERROR(INDEX(Dados!$A:$C,SMALL(IF(Dados!$A:$A="Pedro",ROW(Dados!$A:$A)),ROW(B3)),2),"")</f>
        <v>Sapatilha Sapato</v>
      </c>
      <c r="C4" s="5">
        <f t="array" ref="C4">IFERROR(INDEX(Dados!$A:$C,SMALL(IF(Dados!$A:$A="Pedro",ROW(Dados!$A:$A)),ROW(C3)),3),"")</f>
        <v>150.5</v>
      </c>
    </row>
    <row r="5" spans="1:3" ht="21" x14ac:dyDescent="0.5">
      <c r="A5" s="5" t="str">
        <f t="array" ref="A5">IFERROR(INDEX(Dados!$A:$C,SMALL(IF(Dados!$A:$A="Pedro",ROW(Dados!$A:$A)),ROW(A4)),1),"")</f>
        <v>Pedro</v>
      </c>
      <c r="B5" s="5" t="str">
        <f t="array" ref="B5">IFERROR(INDEX(Dados!$A:$C,SMALL(IF(Dados!$A:$A="Pedro",ROW(Dados!$A:$A)),ROW(B4)),2),"")</f>
        <v>Colar Pingente</v>
      </c>
      <c r="C5" s="5">
        <f t="array" ref="C5">IFERROR(INDEX(Dados!$A:$C,SMALL(IF(Dados!$A:$A="Pedro",ROW(Dados!$A:$A)),ROW(C4)),3),"")</f>
        <v>153.4</v>
      </c>
    </row>
    <row r="6" spans="1:3" ht="21" x14ac:dyDescent="0.5">
      <c r="A6" s="5" t="str">
        <f t="array" ref="A6">IFERROR(INDEX(Dados!$A:$C,SMALL(IF(Dados!$A:$A="Pedro",ROW(Dados!$A:$A)),ROW(A5)),1),"")</f>
        <v/>
      </c>
      <c r="B6" s="5" t="str">
        <f t="array" ref="B6">IFERROR(INDEX(Dados!$A:$C,SMALL(IF(Dados!$A:$A="Pedro",ROW(Dados!$A:$A)),ROW(B5)),2),"")</f>
        <v/>
      </c>
      <c r="C6" s="5" t="str">
        <f t="array" ref="C6">IFERROR(INDEX(Dados!$A:$C,SMALL(IF(Dados!$A:$A="Pedro",ROW(Dados!$A:$A)),ROW(C5)),3),"")</f>
        <v/>
      </c>
    </row>
    <row r="7" spans="1:3" ht="21" x14ac:dyDescent="0.5">
      <c r="A7" s="5" t="str">
        <f t="array" ref="A7">IFERROR(INDEX(Dados!$A:$C,SMALL(IF(Dados!$A:$A="Pedro",ROW(Dados!$A:$A)),ROW(A6)),1),"")</f>
        <v/>
      </c>
      <c r="B7" s="5" t="str">
        <f t="array" ref="B7">IFERROR(INDEX(Dados!$A:$C,SMALL(IF(Dados!$A:$A="Pedro",ROW(Dados!$A:$A)),ROW(B6)),2),"")</f>
        <v/>
      </c>
      <c r="C7" s="5" t="str">
        <f t="array" ref="C7">IFERROR(INDEX(Dados!$A:$C,SMALL(IF(Dados!$A:$A="Pedro",ROW(Dados!$A:$A)),ROW(C6)),3),"")</f>
        <v/>
      </c>
    </row>
    <row r="8" spans="1:3" ht="21" x14ac:dyDescent="0.5">
      <c r="A8" s="5" t="str">
        <f t="array" ref="A8">IFERROR(INDEX(Dados!$A:$C,SMALL(IF(Dados!$A:$A="Pedro",ROW(Dados!$A:$A)),ROW(A7)),1),"")</f>
        <v/>
      </c>
      <c r="B8" s="5" t="str">
        <f t="array" ref="B8">IFERROR(INDEX(Dados!$A:$C,SMALL(IF(Dados!$A:$A="Pedro",ROW(Dados!$A:$A)),ROW(B7)),2),"")</f>
        <v/>
      </c>
      <c r="C8" s="5" t="str">
        <f t="array" ref="C8">IFERROR(INDEX(Dados!$A:$C,SMALL(IF(Dados!$A:$A="Pedro",ROW(Dados!$A:$A)),ROW(C7)),3),"")</f>
        <v/>
      </c>
    </row>
    <row r="9" spans="1:3" ht="21" x14ac:dyDescent="0.5">
      <c r="A9" s="5" t="str">
        <f t="array" ref="A9">IFERROR(INDEX(Dados!$A:$C,SMALL(IF(Dados!$A:$A="Pedro",ROW(Dados!$A:$A)),ROW(A8)),1),"")</f>
        <v/>
      </c>
      <c r="B9" s="5" t="str">
        <f t="array" ref="B9">IFERROR(INDEX(Dados!$A:$C,SMALL(IF(Dados!$A:$A="Pedro",ROW(Dados!$A:$A)),ROW(B8)),2),"")</f>
        <v/>
      </c>
      <c r="C9" s="5" t="str">
        <f t="array" ref="C9">IFERROR(INDEX(Dados!$A:$C,SMALL(IF(Dados!$A:$A="Pedro",ROW(Dados!$A:$A)),ROW(C8)),3),"")</f>
        <v/>
      </c>
    </row>
    <row r="10" spans="1:3" ht="21" x14ac:dyDescent="0.5">
      <c r="A10" s="5" t="str">
        <f t="array" ref="A10">IFERROR(INDEX(Dados!$A:$C,SMALL(IF(Dados!$A:$A="Pedro",ROW(Dados!$A:$A)),ROW(A9)),1),"")</f>
        <v/>
      </c>
      <c r="B10" s="5" t="str">
        <f t="array" ref="B10">IFERROR(INDEX(Dados!$A:$C,SMALL(IF(Dados!$A:$A="Pedro",ROW(Dados!$A:$A)),ROW(B9)),2),"")</f>
        <v/>
      </c>
      <c r="C10" s="5" t="str">
        <f t="array" ref="C10">IFERROR(INDEX(Dados!$A:$C,SMALL(IF(Dados!$A:$A="Pedro",ROW(Dados!$A:$A)),ROW(C9)),3),"")</f>
        <v/>
      </c>
    </row>
    <row r="11" spans="1:3" ht="21" x14ac:dyDescent="0.5">
      <c r="A11" s="5" t="str">
        <f t="array" ref="A11">IFERROR(INDEX(Dados!$A:$C,SMALL(IF(Dados!$A:$A="Pedro",ROW(Dados!$A:$A)),ROW(A10)),1),"")</f>
        <v/>
      </c>
      <c r="B11" s="5" t="str">
        <f t="array" ref="B11">IFERROR(INDEX(Dados!$A:$C,SMALL(IF(Dados!$A:$A="Pedro",ROW(Dados!$A:$A)),ROW(B10)),2),"")</f>
        <v/>
      </c>
      <c r="C11" s="5" t="str">
        <f t="array" ref="C11">IFERROR(INDEX(Dados!$A:$C,SMALL(IF(Dados!$A:$A="Pedro",ROW(Dados!$A:$A)),ROW(C10)),3),"")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E383-0F7B-4442-AECB-88963B38257D}">
  <dimension ref="A1:C11"/>
  <sheetViews>
    <sheetView showGridLines="0" workbookViewId="0"/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>
        <f t="array" ref="A2">IFERROR(INDEX(Dados!$A:$C,SMALL(IF(Dados!$A:$A="Iasmin",ROW(Dados!$A:$A)),ROW(A1)),1),"")</f>
        <v>Iasmin</v>
      </c>
      <c r="B2" s="5" t="str">
        <f t="array" ref="B2">IFERROR(INDEX(Dados!$A:$C,SMALL(IF(Dados!$A:$A="Iasmin",ROW(Dados!$A:$A)),ROW(B1)),2),"")</f>
        <v>Bolsa de Trabalho</v>
      </c>
      <c r="C2" s="5">
        <f t="array" ref="C2">IFERROR(INDEX(Dados!$A:$C,SMALL(IF(Dados!$A:$A="Iasmin",ROW(Dados!$A:$A)),ROW(C1)),3),"")</f>
        <v>55.9</v>
      </c>
    </row>
    <row r="3" spans="1:3" ht="21" x14ac:dyDescent="0.5">
      <c r="A3" s="5" t="str">
        <f t="array" ref="A3">IFERROR(INDEX(Dados!$A:$C,SMALL(IF(Dados!$A:$A="Iasmin",ROW(Dados!$A:$A)),ROW(A2)),1),"")</f>
        <v>Iasmin</v>
      </c>
      <c r="B3" s="5" t="str">
        <f t="array" ref="B3">IFERROR(INDEX(Dados!$A:$C,SMALL(IF(Dados!$A:$A="Iasmin",ROW(Dados!$A:$A)),ROW(B2)),2),"")</f>
        <v>Kit de Pinceis de Maquiagem</v>
      </c>
      <c r="C3" s="5">
        <f t="array" ref="C3">IFERROR(INDEX(Dados!$A:$C,SMALL(IF(Dados!$A:$A="Iasmin",ROW(Dados!$A:$A)),ROW(C2)),3),"")</f>
        <v>59.9</v>
      </c>
    </row>
    <row r="4" spans="1:3" ht="21" x14ac:dyDescent="0.5">
      <c r="A4" s="5" t="str">
        <f t="array" ref="A4">IFERROR(INDEX(Dados!$A:$C,SMALL(IF(Dados!$A:$A="Iasmin",ROW(Dados!$A:$A)),ROW(A3)),1),"")</f>
        <v>Iasmin</v>
      </c>
      <c r="B4" s="5" t="str">
        <f t="array" ref="B4">IFERROR(INDEX(Dados!$A:$C,SMALL(IF(Dados!$A:$A="Iasmin",ROW(Dados!$A:$A)),ROW(B3)),2),"")</f>
        <v>Vestido Infantil</v>
      </c>
      <c r="C4" s="5">
        <f t="array" ref="C4">IFERROR(INDEX(Dados!$A:$C,SMALL(IF(Dados!$A:$A="Iasmin",ROW(Dados!$A:$A)),ROW(C3)),3),"")</f>
        <v>148.56</v>
      </c>
    </row>
    <row r="5" spans="1:3" ht="21" x14ac:dyDescent="0.5">
      <c r="A5" s="5" t="str">
        <f t="array" ref="A5">IFERROR(INDEX(Dados!$A:$C,SMALL(IF(Dados!$A:$A="Iasmin",ROW(Dados!$A:$A)),ROW(A4)),1),"")</f>
        <v>Iasmin</v>
      </c>
      <c r="B5" s="5" t="str">
        <f t="array" ref="B5">IFERROR(INDEX(Dados!$A:$C,SMALL(IF(Dados!$A:$A="Iasmin",ROW(Dados!$A:$A)),ROW(B4)),2),"")</f>
        <v>Camisa Masculina</v>
      </c>
      <c r="C5" s="5">
        <f t="array" ref="C5">IFERROR(INDEX(Dados!$A:$C,SMALL(IF(Dados!$A:$A="Iasmin",ROW(Dados!$A:$A)),ROW(C4)),3),"")</f>
        <v>224.14</v>
      </c>
    </row>
    <row r="6" spans="1:3" ht="21" x14ac:dyDescent="0.5">
      <c r="A6" s="5" t="str">
        <f t="array" ref="A6">IFERROR(INDEX(Dados!$A:$C,SMALL(IF(Dados!$A:$A="Iasmin",ROW(Dados!$A:$A)),ROW(A5)),1),"")</f>
        <v/>
      </c>
      <c r="B6" s="5" t="str">
        <f t="array" ref="B6">IFERROR(INDEX(Dados!$A:$C,SMALL(IF(Dados!$A:$A="Iasmin",ROW(Dados!$A:$A)),ROW(B5)),2),"")</f>
        <v/>
      </c>
      <c r="C6" s="5" t="str">
        <f t="array" ref="C6">IFERROR(INDEX(Dados!$A:$C,SMALL(IF(Dados!$A:$A="Iasmin",ROW(Dados!$A:$A)),ROW(C5)),3),"")</f>
        <v/>
      </c>
    </row>
    <row r="7" spans="1:3" ht="21" x14ac:dyDescent="0.5">
      <c r="A7" s="5" t="str">
        <f t="array" ref="A7">IFERROR(INDEX(Dados!$A:$C,SMALL(IF(Dados!$A:$A="Iasmin",ROW(Dados!$A:$A)),ROW(A6)),1),"")</f>
        <v/>
      </c>
      <c r="B7" s="5" t="str">
        <f t="array" ref="B7">IFERROR(INDEX(Dados!$A:$C,SMALL(IF(Dados!$A:$A="Iasmin",ROW(Dados!$A:$A)),ROW(B6)),2),"")</f>
        <v/>
      </c>
      <c r="C7" s="5" t="str">
        <f t="array" ref="C7">IFERROR(INDEX(Dados!$A:$C,SMALL(IF(Dados!$A:$A="Iasmin",ROW(Dados!$A:$A)),ROW(C6)),3),"")</f>
        <v/>
      </c>
    </row>
    <row r="8" spans="1:3" ht="21" x14ac:dyDescent="0.5">
      <c r="A8" s="5" t="str">
        <f t="array" ref="A8">IFERROR(INDEX(Dados!$A:$C,SMALL(IF(Dados!$A:$A="Iasmin",ROW(Dados!$A:$A)),ROW(A7)),1),"")</f>
        <v/>
      </c>
      <c r="B8" s="5" t="str">
        <f t="array" ref="B8">IFERROR(INDEX(Dados!$A:$C,SMALL(IF(Dados!$A:$A="Iasmin",ROW(Dados!$A:$A)),ROW(B7)),2),"")</f>
        <v/>
      </c>
      <c r="C8" s="5" t="str">
        <f t="array" ref="C8">IFERROR(INDEX(Dados!$A:$C,SMALL(IF(Dados!$A:$A="Iasmin",ROW(Dados!$A:$A)),ROW(C7)),3),"")</f>
        <v/>
      </c>
    </row>
    <row r="9" spans="1:3" ht="21" x14ac:dyDescent="0.5">
      <c r="A9" s="5" t="str">
        <f t="array" ref="A9">IFERROR(INDEX(Dados!$A:$C,SMALL(IF(Dados!$A:$A="Iasmin",ROW(Dados!$A:$A)),ROW(A8)),1),"")</f>
        <v/>
      </c>
      <c r="B9" s="5" t="str">
        <f t="array" ref="B9">IFERROR(INDEX(Dados!$A:$C,SMALL(IF(Dados!$A:$A="Iasmin",ROW(Dados!$A:$A)),ROW(B8)),2),"")</f>
        <v/>
      </c>
      <c r="C9" s="5" t="str">
        <f t="array" ref="C9">IFERROR(INDEX(Dados!$A:$C,SMALL(IF(Dados!$A:$A="Iasmin",ROW(Dados!$A:$A)),ROW(C8)),3),"")</f>
        <v/>
      </c>
    </row>
    <row r="10" spans="1:3" ht="21" x14ac:dyDescent="0.5">
      <c r="A10" s="5" t="str">
        <f t="array" ref="A10">IFERROR(INDEX(Dados!$A:$C,SMALL(IF(Dados!$A:$A="Iasmin",ROW(Dados!$A:$A)),ROW(A9)),1),"")</f>
        <v/>
      </c>
      <c r="B10" s="5" t="str">
        <f t="array" ref="B10">IFERROR(INDEX(Dados!$A:$C,SMALL(IF(Dados!$A:$A="Iasmin",ROW(Dados!$A:$A)),ROW(B9)),2),"")</f>
        <v/>
      </c>
      <c r="C10" s="5" t="str">
        <f t="array" ref="C10">IFERROR(INDEX(Dados!$A:$C,SMALL(IF(Dados!$A:$A="Iasmin",ROW(Dados!$A:$A)),ROW(C9)),3),"")</f>
        <v/>
      </c>
    </row>
    <row r="11" spans="1:3" ht="21" x14ac:dyDescent="0.5">
      <c r="A11" s="5" t="str">
        <f t="array" ref="A11">IFERROR(INDEX(Dados!$A:$C,SMALL(IF(Dados!$A:$A="Iasmin",ROW(Dados!$A:$A)),ROW(A10)),1),"")</f>
        <v/>
      </c>
      <c r="B11" s="5" t="str">
        <f t="array" ref="B11">IFERROR(INDEX(Dados!$A:$C,SMALL(IF(Dados!$A:$A="Iasmin",ROW(Dados!$A:$A)),ROW(B10)),2),"")</f>
        <v/>
      </c>
      <c r="C11" s="5" t="str">
        <f t="array" ref="C11">IFERROR(INDEX(Dados!$A:$C,SMALL(IF(Dados!$A:$A="Iasmin",ROW(Dados!$A:$A)),ROW(C10)),3),"")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FCDB-B753-4D94-95E7-8F37B6E31A6E}">
  <dimension ref="A1:C11"/>
  <sheetViews>
    <sheetView showGridLines="0" workbookViewId="0"/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>
        <f t="array" ref="A2">IFERROR(INDEX(Dados!$A:$C,SMALL(IF(Dados!$A:$A="Ana",ROW(Dados!$A:$A)),ROW(A1)),1),"")</f>
        <v>Ana</v>
      </c>
      <c r="B2" s="5" t="str">
        <f t="array" ref="B2">IFERROR(INDEX(Dados!$A:$C,SMALL(IF(Dados!$A:$A="Ana",ROW(Dados!$A:$A)),ROW(B1)),2),"")</f>
        <v>Tênis Feminino</v>
      </c>
      <c r="C2" s="5">
        <f t="array" ref="C2">IFERROR(INDEX(Dados!$A:$C,SMALL(IF(Dados!$A:$A="Ana",ROW(Dados!$A:$A)),ROW(C1)),3),"")</f>
        <v>41.9</v>
      </c>
    </row>
    <row r="3" spans="1:3" ht="21" x14ac:dyDescent="0.5">
      <c r="A3" s="5" t="str">
        <f t="array" ref="A3">IFERROR(INDEX(Dados!$A:$C,SMALL(IF(Dados!$A:$A="Ana",ROW(Dados!$A:$A)),ROW(A2)),1),"")</f>
        <v>Ana</v>
      </c>
      <c r="B3" s="5" t="str">
        <f t="array" ref="B3">IFERROR(INDEX(Dados!$A:$C,SMALL(IF(Dados!$A:$A="Ana",ROW(Dados!$A:$A)),ROW(B2)),2),"")</f>
        <v>Calça Feminina Jogger</v>
      </c>
      <c r="C3" s="5">
        <f t="array" ref="C3">IFERROR(INDEX(Dados!$A:$C,SMALL(IF(Dados!$A:$A="Ana",ROW(Dados!$A:$A)),ROW(C2)),3),"")</f>
        <v>69.989999999999995</v>
      </c>
    </row>
    <row r="4" spans="1:3" ht="21" x14ac:dyDescent="0.5">
      <c r="A4" s="5" t="str">
        <f t="array" ref="A4">IFERROR(INDEX(Dados!$A:$C,SMALL(IF(Dados!$A:$A="Ana",ROW(Dados!$A:$A)),ROW(A3)),1),"")</f>
        <v>Ana</v>
      </c>
      <c r="B4" s="5" t="str">
        <f t="array" ref="B4">IFERROR(INDEX(Dados!$A:$C,SMALL(IF(Dados!$A:$A="Ana",ROW(Dados!$A:$A)),ROW(B3)),2),"")</f>
        <v>Sapato Social</v>
      </c>
      <c r="C4" s="5">
        <f t="array" ref="C4">IFERROR(INDEX(Dados!$A:$C,SMALL(IF(Dados!$A:$A="Ana",ROW(Dados!$A:$A)),ROW(C3)),3),"")</f>
        <v>81.900000000000006</v>
      </c>
    </row>
    <row r="5" spans="1:3" ht="21" x14ac:dyDescent="0.5">
      <c r="A5" s="5" t="str">
        <f t="array" ref="A5">IFERROR(INDEX(Dados!$A:$C,SMALL(IF(Dados!$A:$A="Ana",ROW(Dados!$A:$A)),ROW(A4)),1),"")</f>
        <v>Ana</v>
      </c>
      <c r="B5" s="5" t="str">
        <f t="array" ref="B5">IFERROR(INDEX(Dados!$A:$C,SMALL(IF(Dados!$A:$A="Ana",ROW(Dados!$A:$A)),ROW(B4)),2),"")</f>
        <v>Bermuda Masculino</v>
      </c>
      <c r="C5" s="5">
        <f t="array" ref="C5">IFERROR(INDEX(Dados!$A:$C,SMALL(IF(Dados!$A:$A="Ana",ROW(Dados!$A:$A)),ROW(C4)),3),"")</f>
        <v>89.99</v>
      </c>
    </row>
    <row r="6" spans="1:3" ht="21" x14ac:dyDescent="0.5">
      <c r="A6" s="5" t="str">
        <f t="array" ref="A6">IFERROR(INDEX(Dados!$A:$C,SMALL(IF(Dados!$A:$A="Ana",ROW(Dados!$A:$A)),ROW(A5)),1),"")</f>
        <v>Ana</v>
      </c>
      <c r="B6" s="5" t="str">
        <f t="array" ref="B6">IFERROR(INDEX(Dados!$A:$C,SMALL(IF(Dados!$A:$A="Ana",ROW(Dados!$A:$A)),ROW(B5)),2),"")</f>
        <v>Camisa Masculina Festa Balada</v>
      </c>
      <c r="C6" s="5">
        <f t="array" ref="C6">IFERROR(INDEX(Dados!$A:$C,SMALL(IF(Dados!$A:$A="Ana",ROW(Dados!$A:$A)),ROW(C5)),3),"")</f>
        <v>116.52</v>
      </c>
    </row>
    <row r="7" spans="1:3" ht="21" x14ac:dyDescent="0.5">
      <c r="A7" s="5" t="str">
        <f t="array" ref="A7">IFERROR(INDEX(Dados!$A:$C,SMALL(IF(Dados!$A:$A="Ana",ROW(Dados!$A:$A)),ROW(A6)),1),"")</f>
        <v>Ana</v>
      </c>
      <c r="B7" s="5" t="str">
        <f t="array" ref="B7">IFERROR(INDEX(Dados!$A:$C,SMALL(IF(Dados!$A:$A="Ana",ROW(Dados!$A:$A)),ROW(B6)),2),"")</f>
        <v>Bota Masculina</v>
      </c>
      <c r="C7" s="5">
        <f t="array" ref="C7">IFERROR(INDEX(Dados!$A:$C,SMALL(IF(Dados!$A:$A="Ana",ROW(Dados!$A:$A)),ROW(C6)),3),"")</f>
        <v>146.13999999999999</v>
      </c>
    </row>
    <row r="8" spans="1:3" ht="21" x14ac:dyDescent="0.5">
      <c r="A8" s="5" t="str">
        <f t="array" ref="A8">IFERROR(INDEX(Dados!$A:$C,SMALL(IF(Dados!$A:$A="Ana",ROW(Dados!$A:$A)),ROW(A7)),1),"")</f>
        <v>Ana</v>
      </c>
      <c r="B8" s="5" t="str">
        <f t="array" ref="B8">IFERROR(INDEX(Dados!$A:$C,SMALL(IF(Dados!$A:$A="Ana",ROW(Dados!$A:$A)),ROW(B7)),2),"")</f>
        <v>Jaqueta Masculina Preta</v>
      </c>
      <c r="C8" s="5">
        <f t="array" ref="C8">IFERROR(INDEX(Dados!$A:$C,SMALL(IF(Dados!$A:$A="Ana",ROW(Dados!$A:$A)),ROW(C7)),3),"")</f>
        <v>248.73</v>
      </c>
    </row>
    <row r="9" spans="1:3" ht="21" x14ac:dyDescent="0.5">
      <c r="A9" s="5" t="str">
        <f t="array" ref="A9">IFERROR(INDEX(Dados!$A:$C,SMALL(IF(Dados!$A:$A="Ana",ROW(Dados!$A:$A)),ROW(A8)),1),"")</f>
        <v/>
      </c>
      <c r="B9" s="5" t="str">
        <f t="array" ref="B9">IFERROR(INDEX(Dados!$A:$C,SMALL(IF(Dados!$A:$A="Ana",ROW(Dados!$A:$A)),ROW(B8)),2),"")</f>
        <v/>
      </c>
      <c r="C9" s="5" t="str">
        <f t="array" ref="C9">IFERROR(INDEX(Dados!$A:$C,SMALL(IF(Dados!$A:$A="Ana",ROW(Dados!$A:$A)),ROW(C8)),3),"")</f>
        <v/>
      </c>
    </row>
    <row r="10" spans="1:3" ht="21" x14ac:dyDescent="0.5">
      <c r="A10" s="5" t="str">
        <f t="array" ref="A10">IFERROR(INDEX(Dados!$A:$C,SMALL(IF(Dados!$A:$A="Ana",ROW(Dados!$A:$A)),ROW(A9)),1),"")</f>
        <v/>
      </c>
      <c r="B10" s="5" t="str">
        <f t="array" ref="B10">IFERROR(INDEX(Dados!$A:$C,SMALL(IF(Dados!$A:$A="Ana",ROW(Dados!$A:$A)),ROW(B9)),2),"")</f>
        <v/>
      </c>
      <c r="C10" s="5" t="str">
        <f t="array" ref="C10">IFERROR(INDEX(Dados!$A:$C,SMALL(IF(Dados!$A:$A="Ana",ROW(Dados!$A:$A)),ROW(C9)),3),"")</f>
        <v/>
      </c>
    </row>
    <row r="11" spans="1:3" ht="21" x14ac:dyDescent="0.5">
      <c r="A11" s="5" t="str">
        <f t="array" ref="A11">IFERROR(INDEX(Dados!$A:$C,SMALL(IF(Dados!$A:$A="Ana",ROW(Dados!$A:$A)),ROW(A10)),1),"")</f>
        <v/>
      </c>
      <c r="B11" s="5" t="str">
        <f t="array" ref="B11">IFERROR(INDEX(Dados!$A:$C,SMALL(IF(Dados!$A:$A="Ana",ROW(Dados!$A:$A)),ROW(B10)),2),"")</f>
        <v/>
      </c>
      <c r="C11" s="5" t="str">
        <f t="array" ref="C11">IFERROR(INDEX(Dados!$A:$C,SMALL(IF(Dados!$A:$A="Ana",ROW(Dados!$A:$A)),ROW(C10)),3),"")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4678-A2FF-4CD6-BADF-E14AEBE58B6A}">
  <dimension ref="A1:C11"/>
  <sheetViews>
    <sheetView showGridLines="0" tabSelected="1" workbookViewId="0">
      <selection activeCell="F10" sqref="F10"/>
    </sheetView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 cm="1">
        <f t="array" ref="A2">IFERROR(INDEX(Dados!$A:$C,SMALL(IF(Dados!$A:$A="Ana",ROW(Dados!$A:$A)),ROW(A1)),COLUMN(A1)),"")</f>
        <v>Ana</v>
      </c>
      <c r="B2" s="5" t="str" cm="1">
        <f t="array" ref="B2">IFERROR(INDEX(Dados!$A:$C,SMALL(IF(Dados!$A:$A="Ana",ROW(Dados!$A:$A)),ROW(B1)),COLUMN(B1)),"")</f>
        <v>Tênis Feminino</v>
      </c>
      <c r="C2" s="5" cm="1">
        <f t="array" ref="C2">IFERROR(INDEX(Dados!$A:$C,SMALL(IF(Dados!$A:$A="Ana",ROW(Dados!$A:$A)),ROW(C1)),COLUMN(C1)),"")</f>
        <v>41.9</v>
      </c>
    </row>
    <row r="3" spans="1:3" ht="21" x14ac:dyDescent="0.5">
      <c r="A3" s="5" t="str" cm="1">
        <f t="array" ref="A3">IFERROR(INDEX(Dados!$A:$C,SMALL(IF(Dados!$A:$A="Ana",ROW(Dados!$A:$A)),ROW(A2)),COLUMN(A2)),"")</f>
        <v>Ana</v>
      </c>
      <c r="B3" s="5" t="str" cm="1">
        <f t="array" ref="B3">IFERROR(INDEX(Dados!$A:$C,SMALL(IF(Dados!$A:$A="Ana",ROW(Dados!$A:$A)),ROW(B2)),COLUMN(B2)),"")</f>
        <v>Calça Feminina Jogger</v>
      </c>
      <c r="C3" s="5" cm="1">
        <f t="array" ref="C3">IFERROR(INDEX(Dados!$A:$C,SMALL(IF(Dados!$A:$A="Ana",ROW(Dados!$A:$A)),ROW(C2)),COLUMN(C2)),"")</f>
        <v>69.989999999999995</v>
      </c>
    </row>
    <row r="4" spans="1:3" ht="21" x14ac:dyDescent="0.5">
      <c r="A4" s="5" t="str" cm="1">
        <f t="array" ref="A4">IFERROR(INDEX(Dados!$A:$C,SMALL(IF(Dados!$A:$A="Ana",ROW(Dados!$A:$A)),ROW(A3)),COLUMN(A3)),"")</f>
        <v>Ana</v>
      </c>
      <c r="B4" s="5" t="str" cm="1">
        <f t="array" ref="B4">IFERROR(INDEX(Dados!$A:$C,SMALL(IF(Dados!$A:$A="Ana",ROW(Dados!$A:$A)),ROW(B3)),COLUMN(B3)),"")</f>
        <v>Sapato Social</v>
      </c>
      <c r="C4" s="5" cm="1">
        <f t="array" ref="C4">IFERROR(INDEX(Dados!$A:$C,SMALL(IF(Dados!$A:$A="Ana",ROW(Dados!$A:$A)),ROW(C3)),COLUMN(C3)),"")</f>
        <v>81.900000000000006</v>
      </c>
    </row>
    <row r="5" spans="1:3" ht="21" x14ac:dyDescent="0.5">
      <c r="A5" s="5" t="str" cm="1">
        <f t="array" ref="A5">IFERROR(INDEX(Dados!$A:$C,SMALL(IF(Dados!$A:$A="Ana",ROW(Dados!$A:$A)),ROW(A4)),COLUMN(A4)),"")</f>
        <v>Ana</v>
      </c>
      <c r="B5" s="5" t="str" cm="1">
        <f t="array" ref="B5">IFERROR(INDEX(Dados!$A:$C,SMALL(IF(Dados!$A:$A="Ana",ROW(Dados!$A:$A)),ROW(B4)),COLUMN(B4)),"")</f>
        <v>Bermuda Masculino</v>
      </c>
      <c r="C5" s="5" cm="1">
        <f t="array" ref="C5">IFERROR(INDEX(Dados!$A:$C,SMALL(IF(Dados!$A:$A="Ana",ROW(Dados!$A:$A)),ROW(C4)),COLUMN(C4)),"")</f>
        <v>89.99</v>
      </c>
    </row>
    <row r="6" spans="1:3" ht="21" x14ac:dyDescent="0.5">
      <c r="A6" s="5" t="str" cm="1">
        <f t="array" ref="A6">IFERROR(INDEX(Dados!$A:$C,SMALL(IF(Dados!$A:$A="Ana",ROW(Dados!$A:$A)),ROW(A5)),COLUMN(A5)),"")</f>
        <v>Ana</v>
      </c>
      <c r="B6" s="5" t="str" cm="1">
        <f t="array" ref="B6">IFERROR(INDEX(Dados!$A:$C,SMALL(IF(Dados!$A:$A="Ana",ROW(Dados!$A:$A)),ROW(B5)),COLUMN(B5)),"")</f>
        <v>Camisa Masculina Festa Balada</v>
      </c>
      <c r="C6" s="5" cm="1">
        <f t="array" ref="C6">IFERROR(INDEX(Dados!$A:$C,SMALL(IF(Dados!$A:$A="Ana",ROW(Dados!$A:$A)),ROW(C5)),COLUMN(C5)),"")</f>
        <v>116.52</v>
      </c>
    </row>
    <row r="7" spans="1:3" ht="21" x14ac:dyDescent="0.5">
      <c r="A7" s="5" t="str" cm="1">
        <f t="array" ref="A7">IFERROR(INDEX(Dados!$A:$C,SMALL(IF(Dados!$A:$A="Ana",ROW(Dados!$A:$A)),ROW(A6)),COLUMN(A6)),"")</f>
        <v>Ana</v>
      </c>
      <c r="B7" s="5" t="str" cm="1">
        <f t="array" ref="B7">IFERROR(INDEX(Dados!$A:$C,SMALL(IF(Dados!$A:$A="Ana",ROW(Dados!$A:$A)),ROW(B6)),COLUMN(B6)),"")</f>
        <v>Bota Masculina</v>
      </c>
      <c r="C7" s="5" cm="1">
        <f t="array" ref="C7">IFERROR(INDEX(Dados!$A:$C,SMALL(IF(Dados!$A:$A="Ana",ROW(Dados!$A:$A)),ROW(C6)),COLUMN(C6)),"")</f>
        <v>146.13999999999999</v>
      </c>
    </row>
    <row r="8" spans="1:3" ht="21" x14ac:dyDescent="0.5">
      <c r="A8" s="5" t="str" cm="1">
        <f t="array" ref="A8">IFERROR(INDEX(Dados!$A:$C,SMALL(IF(Dados!$A:$A="Ana",ROW(Dados!$A:$A)),ROW(A7)),COLUMN(A7)),"")</f>
        <v>Ana</v>
      </c>
      <c r="B8" s="5" t="str" cm="1">
        <f t="array" ref="B8">IFERROR(INDEX(Dados!$A:$C,SMALL(IF(Dados!$A:$A="Ana",ROW(Dados!$A:$A)),ROW(B7)),COLUMN(B7)),"")</f>
        <v>Jaqueta Masculina Preta</v>
      </c>
      <c r="C8" s="5" cm="1">
        <f t="array" ref="C8">IFERROR(INDEX(Dados!$A:$C,SMALL(IF(Dados!$A:$A="Ana",ROW(Dados!$A:$A)),ROW(C7)),COLUMN(C7)),"")</f>
        <v>248.73</v>
      </c>
    </row>
    <row r="9" spans="1:3" ht="21" x14ac:dyDescent="0.5">
      <c r="A9" s="5" t="str" cm="1">
        <f t="array" ref="A9">IFERROR(INDEX(Dados!$A:$C,SMALL(IF(Dados!$A:$A="Ana",ROW(Dados!$A:$A)),ROW(A8)),COLUMN(A8)),"")</f>
        <v/>
      </c>
      <c r="B9" s="5" t="str" cm="1">
        <f t="array" ref="B9">IFERROR(INDEX(Dados!$A:$C,SMALL(IF(Dados!$A:$A="Ana",ROW(Dados!$A:$A)),ROW(B8)),COLUMN(B8)),"")</f>
        <v/>
      </c>
      <c r="C9" s="5" t="str" cm="1">
        <f t="array" ref="C9">IFERROR(INDEX(Dados!$A:$C,SMALL(IF(Dados!$A:$A="Ana",ROW(Dados!$A:$A)),ROW(C8)),COLUMN(C8)),"")</f>
        <v/>
      </c>
    </row>
    <row r="10" spans="1:3" ht="21" x14ac:dyDescent="0.5">
      <c r="A10" s="5" t="str" cm="1">
        <f t="array" ref="A10">IFERROR(INDEX(Dados!$A:$C,SMALL(IF(Dados!$A:$A="Ana",ROW(Dados!$A:$A)),ROW(A9)),COLUMN(A9)),"")</f>
        <v/>
      </c>
      <c r="B10" s="5" t="str" cm="1">
        <f t="array" ref="B10">IFERROR(INDEX(Dados!$A:$C,SMALL(IF(Dados!$A:$A="Ana",ROW(Dados!$A:$A)),ROW(B9)),COLUMN(B9)),"")</f>
        <v/>
      </c>
      <c r="C10" s="5" t="str" cm="1">
        <f t="array" ref="C10">IFERROR(INDEX(Dados!$A:$C,SMALL(IF(Dados!$A:$A="Ana",ROW(Dados!$A:$A)),ROW(C9)),COLUMN(C9)),"")</f>
        <v/>
      </c>
    </row>
    <row r="11" spans="1:3" ht="21" x14ac:dyDescent="0.5">
      <c r="A11" s="5" t="str" cm="1">
        <f t="array" ref="A11">IFERROR(INDEX(Dados!$A:$C,SMALL(IF(Dados!$A:$A="Ana",ROW(Dados!$A:$A)),ROW(A10)),COLUMN(A10)),"")</f>
        <v/>
      </c>
      <c r="B11" s="5" t="str" cm="1">
        <f t="array" ref="B11">IFERROR(INDEX(Dados!$A:$C,SMALL(IF(Dados!$A:$A="Ana",ROW(Dados!$A:$A)),ROW(B10)),COLUMN(B10)),"")</f>
        <v/>
      </c>
      <c r="C11" s="5" t="str" cm="1">
        <f t="array" ref="C11">IFERROR(INDEX(Dados!$A:$C,SMALL(IF(Dados!$A:$A="Ana",ROW(Dados!$A:$A)),ROW(C10)),COLUMN(C10)),"")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B39F-802D-492E-859C-0E16A365FA00}">
  <dimension ref="A1:C11"/>
  <sheetViews>
    <sheetView showGridLines="0" workbookViewId="0">
      <selection activeCell="F10" sqref="F10"/>
    </sheetView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3" ht="21" x14ac:dyDescent="0.5">
      <c r="A1" s="7" t="s">
        <v>0</v>
      </c>
      <c r="B1" s="8" t="s">
        <v>19</v>
      </c>
      <c r="C1" s="9" t="s">
        <v>1</v>
      </c>
    </row>
    <row r="2" spans="1:3" ht="21" x14ac:dyDescent="0.5">
      <c r="A2" s="5" t="str" cm="1">
        <f t="array" ref="A2">IFERROR(INDEX(Dados!$A:$C,SMALL(IF(Dados!$A:$A="Ana",ROW(Dados!$A:$A)),ROW(A1)),COLUMN(A1)),"")</f>
        <v>Ana</v>
      </c>
      <c r="B2" s="5" t="str" cm="1">
        <f t="array" ref="B2">IFERROR(INDEX(Dados!$A:$C,SMALL(IF(Dados!$A:$A="Ana",ROW(Dados!$A:$A)),ROW(B1)),COLUMN(B1)),"")</f>
        <v>Tênis Feminino</v>
      </c>
      <c r="C2" s="5" cm="1">
        <f t="array" ref="C2">IFERROR(INDEX(Dados!$A:$C,SMALL(IF(Dados!$A:$A="Ana",ROW(Dados!$A:$A)),ROW(C1)),COLUMN(C1)),"")</f>
        <v>41.9</v>
      </c>
    </row>
    <row r="3" spans="1:3" ht="21" x14ac:dyDescent="0.5">
      <c r="A3" s="5" t="str" cm="1">
        <f t="array" ref="A3">IFERROR(INDEX(Dados!$A:$C,SMALL(IF(Dados!$A:$A="Ana",ROW(Dados!$A:$A)),ROW(A2)),COLUMN(A2)),"")</f>
        <v>Ana</v>
      </c>
      <c r="B3" s="5" t="str" cm="1">
        <f t="array" ref="B3">IFERROR(INDEX(Dados!$A:$C,SMALL(IF(Dados!$A:$A="Ana",ROW(Dados!$A:$A)),ROW(B2)),COLUMN(B2)),"")</f>
        <v>Calça Feminina Jogger</v>
      </c>
      <c r="C3" s="5" cm="1">
        <f t="array" ref="C3">IFERROR(INDEX(Dados!$A:$C,SMALL(IF(Dados!$A:$A="Ana",ROW(Dados!$A:$A)),ROW(C2)),COLUMN(C2)),"")</f>
        <v>69.989999999999995</v>
      </c>
    </row>
    <row r="4" spans="1:3" ht="21" x14ac:dyDescent="0.5">
      <c r="A4" s="5" t="str" cm="1">
        <f t="array" ref="A4">IFERROR(INDEX(Dados!$A:$C,SMALL(IF(Dados!$A:$A="Ana",ROW(Dados!$A:$A)),ROW(A3)),COLUMN(A3)),"")</f>
        <v>Ana</v>
      </c>
      <c r="B4" s="5" t="str" cm="1">
        <f t="array" ref="B4">IFERROR(INDEX(Dados!$A:$C,SMALL(IF(Dados!$A:$A="Ana",ROW(Dados!$A:$A)),ROW(B3)),COLUMN(B3)),"")</f>
        <v>Sapato Social</v>
      </c>
      <c r="C4" s="5" cm="1">
        <f t="array" ref="C4">IFERROR(INDEX(Dados!$A:$C,SMALL(IF(Dados!$A:$A="Ana",ROW(Dados!$A:$A)),ROW(C3)),COLUMN(C3)),"")</f>
        <v>81.900000000000006</v>
      </c>
    </row>
    <row r="5" spans="1:3" ht="21" x14ac:dyDescent="0.5">
      <c r="A5" s="5" t="str" cm="1">
        <f t="array" ref="A5">IFERROR(INDEX(Dados!$A:$C,SMALL(IF(Dados!$A:$A="Ana",ROW(Dados!$A:$A)),ROW(A4)),COLUMN(A4)),"")</f>
        <v>Ana</v>
      </c>
      <c r="B5" s="5" t="str" cm="1">
        <f t="array" ref="B5">IFERROR(INDEX(Dados!$A:$C,SMALL(IF(Dados!$A:$A="Ana",ROW(Dados!$A:$A)),ROW(B4)),COLUMN(B4)),"")</f>
        <v>Bermuda Masculino</v>
      </c>
      <c r="C5" s="5" cm="1">
        <f t="array" ref="C5">IFERROR(INDEX(Dados!$A:$C,SMALL(IF(Dados!$A:$A="Ana",ROW(Dados!$A:$A)),ROW(C4)),COLUMN(C4)),"")</f>
        <v>89.99</v>
      </c>
    </row>
    <row r="6" spans="1:3" ht="21" x14ac:dyDescent="0.5">
      <c r="A6" s="5" t="str" cm="1">
        <f t="array" ref="A6">IFERROR(INDEX(Dados!$A:$C,SMALL(IF(Dados!$A:$A="Ana",ROW(Dados!$A:$A)),ROW(A5)),COLUMN(A5)),"")</f>
        <v>Ana</v>
      </c>
      <c r="B6" s="5" t="str" cm="1">
        <f t="array" ref="B6">IFERROR(INDEX(Dados!$A:$C,SMALL(IF(Dados!$A:$A="Ana",ROW(Dados!$A:$A)),ROW(B5)),COLUMN(B5)),"")</f>
        <v>Camisa Masculina Festa Balada</v>
      </c>
      <c r="C6" s="5" cm="1">
        <f t="array" ref="C6">IFERROR(INDEX(Dados!$A:$C,SMALL(IF(Dados!$A:$A="Ana",ROW(Dados!$A:$A)),ROW(C5)),COLUMN(C5)),"")</f>
        <v>116.52</v>
      </c>
    </row>
    <row r="7" spans="1:3" ht="21" x14ac:dyDescent="0.5">
      <c r="A7" s="5" t="str" cm="1">
        <f t="array" ref="A7">IFERROR(INDEX(Dados!$A:$C,SMALL(IF(Dados!$A:$A="Ana",ROW(Dados!$A:$A)),ROW(A6)),COLUMN(A6)),"")</f>
        <v>Ana</v>
      </c>
      <c r="B7" s="5" t="str" cm="1">
        <f t="array" ref="B7">IFERROR(INDEX(Dados!$A:$C,SMALL(IF(Dados!$A:$A="Ana",ROW(Dados!$A:$A)),ROW(B6)),COLUMN(B6)),"")</f>
        <v>Bota Masculina</v>
      </c>
      <c r="C7" s="5" cm="1">
        <f t="array" ref="C7">IFERROR(INDEX(Dados!$A:$C,SMALL(IF(Dados!$A:$A="Ana",ROW(Dados!$A:$A)),ROW(C6)),COLUMN(C6)),"")</f>
        <v>146.13999999999999</v>
      </c>
    </row>
    <row r="8" spans="1:3" ht="21" x14ac:dyDescent="0.5">
      <c r="A8" s="5" t="str" cm="1">
        <f t="array" ref="A8">IFERROR(INDEX(Dados!$A:$C,SMALL(IF(Dados!$A:$A="Ana",ROW(Dados!$A:$A)),ROW(A7)),COLUMN(A7)),"")</f>
        <v>Ana</v>
      </c>
      <c r="B8" s="5" t="str" cm="1">
        <f t="array" ref="B8">IFERROR(INDEX(Dados!$A:$C,SMALL(IF(Dados!$A:$A="Ana",ROW(Dados!$A:$A)),ROW(B7)),COLUMN(B7)),"")</f>
        <v>Jaqueta Masculina Preta</v>
      </c>
      <c r="C8" s="5" cm="1">
        <f t="array" ref="C8">IFERROR(INDEX(Dados!$A:$C,SMALL(IF(Dados!$A:$A="Ana",ROW(Dados!$A:$A)),ROW(C7)),COLUMN(C7)),"")</f>
        <v>248.73</v>
      </c>
    </row>
    <row r="9" spans="1:3" ht="21" x14ac:dyDescent="0.5">
      <c r="A9" s="5" t="str" cm="1">
        <f t="array" ref="A9">IFERROR(INDEX(Dados!$A:$C,SMALL(IF(Dados!$A:$A="Ana",ROW(Dados!$A:$A)),ROW(A8)),COLUMN(A8)),"")</f>
        <v/>
      </c>
      <c r="B9" s="5" t="str" cm="1">
        <f t="array" ref="B9">IFERROR(INDEX(Dados!$A:$C,SMALL(IF(Dados!$A:$A="Ana",ROW(Dados!$A:$A)),ROW(B8)),COLUMN(B8)),"")</f>
        <v/>
      </c>
      <c r="C9" s="5" t="str" cm="1">
        <f t="array" ref="C9">IFERROR(INDEX(Dados!$A:$C,SMALL(IF(Dados!$A:$A="Ana",ROW(Dados!$A:$A)),ROW(C8)),COLUMN(C8)),"")</f>
        <v/>
      </c>
    </row>
    <row r="10" spans="1:3" ht="21" x14ac:dyDescent="0.5">
      <c r="A10" s="5" t="str" cm="1">
        <f t="array" ref="A10">IFERROR(INDEX(Dados!$A:$C,SMALL(IF(Dados!$A:$A="Ana",ROW(Dados!$A:$A)),ROW(A9)),COLUMN(A9)),"")</f>
        <v/>
      </c>
      <c r="B10" s="5" t="str" cm="1">
        <f t="array" ref="B10">IFERROR(INDEX(Dados!$A:$C,SMALL(IF(Dados!$A:$A="Ana",ROW(Dados!$A:$A)),ROW(B9)),COLUMN(B9)),"")</f>
        <v/>
      </c>
      <c r="C10" s="5" t="str" cm="1">
        <f t="array" ref="C10">IFERROR(INDEX(Dados!$A:$C,SMALL(IF(Dados!$A:$A="Ana",ROW(Dados!$A:$A)),ROW(C9)),COLUMN(C9)),"")</f>
        <v/>
      </c>
    </row>
    <row r="11" spans="1:3" ht="21" x14ac:dyDescent="0.5">
      <c r="A11" s="5" t="str" cm="1">
        <f t="array" ref="A11">IFERROR(INDEX(Dados!$A:$C,SMALL(IF(Dados!$A:$A="Ana",ROW(Dados!$A:$A)),ROW(A10)),COLUMN(A10)),"")</f>
        <v/>
      </c>
      <c r="B11" s="5" t="str" cm="1">
        <f t="array" ref="B11">IFERROR(INDEX(Dados!$A:$C,SMALL(IF(Dados!$A:$A="Ana",ROW(Dados!$A:$A)),ROW(B10)),COLUMN(B10)),"")</f>
        <v/>
      </c>
      <c r="C11" s="5" t="str" cm="1">
        <f t="array" ref="C11">IFERROR(INDEX(Dados!$A:$C,SMALL(IF(Dados!$A:$A="Ana",ROW(Dados!$A:$A)),ROW(C10)),COLUMN(C10)),"")</f>
        <v/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A1:C18"/>
  <sheetViews>
    <sheetView zoomScaleNormal="100" workbookViewId="0"/>
  </sheetViews>
  <sheetFormatPr defaultRowHeight="21" x14ac:dyDescent="0.5"/>
  <cols>
    <col min="1" max="1" width="24.54296875" style="3" customWidth="1"/>
    <col min="2" max="2" width="58.1796875" style="3" customWidth="1"/>
    <col min="3" max="3" width="23.36328125" style="4" customWidth="1"/>
  </cols>
  <sheetData>
    <row r="1" spans="1:3" x14ac:dyDescent="0.5">
      <c r="A1" s="10" t="s">
        <v>0</v>
      </c>
      <c r="B1" s="10" t="s">
        <v>19</v>
      </c>
      <c r="C1" s="11" t="s">
        <v>1</v>
      </c>
    </row>
    <row r="2" spans="1:3" x14ac:dyDescent="0.5">
      <c r="A2" s="6" t="s">
        <v>2</v>
      </c>
      <c r="B2" s="6" t="s">
        <v>5</v>
      </c>
      <c r="C2" s="12">
        <v>41.9</v>
      </c>
    </row>
    <row r="3" spans="1:3" x14ac:dyDescent="0.5">
      <c r="A3" s="6" t="s">
        <v>2</v>
      </c>
      <c r="B3" s="6" t="s">
        <v>6</v>
      </c>
      <c r="C3" s="12">
        <v>69.989999999999995</v>
      </c>
    </row>
    <row r="4" spans="1:3" x14ac:dyDescent="0.5">
      <c r="A4" s="6" t="s">
        <v>2</v>
      </c>
      <c r="B4" s="6" t="s">
        <v>7</v>
      </c>
      <c r="C4" s="12">
        <v>81.900000000000006</v>
      </c>
    </row>
    <row r="5" spans="1:3" x14ac:dyDescent="0.5">
      <c r="A5" s="6" t="s">
        <v>2</v>
      </c>
      <c r="B5" s="6" t="s">
        <v>8</v>
      </c>
      <c r="C5" s="12">
        <v>89.99</v>
      </c>
    </row>
    <row r="6" spans="1:3" x14ac:dyDescent="0.5">
      <c r="A6" s="6" t="s">
        <v>2</v>
      </c>
      <c r="B6" s="6" t="s">
        <v>9</v>
      </c>
      <c r="C6" s="12">
        <v>116.52</v>
      </c>
    </row>
    <row r="7" spans="1:3" x14ac:dyDescent="0.5">
      <c r="A7" s="6" t="s">
        <v>2</v>
      </c>
      <c r="B7" s="6" t="s">
        <v>10</v>
      </c>
      <c r="C7" s="12">
        <v>146.13999999999999</v>
      </c>
    </row>
    <row r="8" spans="1:3" x14ac:dyDescent="0.5">
      <c r="A8" s="6" t="s">
        <v>2</v>
      </c>
      <c r="B8" s="6" t="s">
        <v>11</v>
      </c>
      <c r="C8" s="12">
        <v>248.73</v>
      </c>
    </row>
    <row r="9" spans="1:3" x14ac:dyDescent="0.5">
      <c r="A9" s="6" t="s">
        <v>3</v>
      </c>
      <c r="B9" s="6" t="s">
        <v>12</v>
      </c>
      <c r="C9" s="12">
        <v>55.9</v>
      </c>
    </row>
    <row r="10" spans="1:3" x14ac:dyDescent="0.5">
      <c r="A10" s="6" t="s">
        <v>3</v>
      </c>
      <c r="B10" s="6" t="s">
        <v>13</v>
      </c>
      <c r="C10" s="12">
        <v>59.9</v>
      </c>
    </row>
    <row r="11" spans="1:3" x14ac:dyDescent="0.5">
      <c r="A11" s="6" t="s">
        <v>3</v>
      </c>
      <c r="B11" s="6" t="s">
        <v>14</v>
      </c>
      <c r="C11" s="12">
        <v>148.56</v>
      </c>
    </row>
    <row r="12" spans="1:3" x14ac:dyDescent="0.5">
      <c r="A12" s="6" t="s">
        <v>3</v>
      </c>
      <c r="B12" s="6" t="s">
        <v>15</v>
      </c>
      <c r="C12" s="12">
        <v>224.14</v>
      </c>
    </row>
    <row r="13" spans="1:3" x14ac:dyDescent="0.5">
      <c r="A13" s="6" t="s">
        <v>4</v>
      </c>
      <c r="B13" s="6" t="s">
        <v>16</v>
      </c>
      <c r="C13" s="12">
        <v>46.9</v>
      </c>
    </row>
    <row r="14" spans="1:3" x14ac:dyDescent="0.5">
      <c r="A14" s="6" t="s">
        <v>4</v>
      </c>
      <c r="B14" s="6" t="s">
        <v>7</v>
      </c>
      <c r="C14" s="12">
        <v>89.9</v>
      </c>
    </row>
    <row r="15" spans="1:3" x14ac:dyDescent="0.5">
      <c r="A15" s="6" t="s">
        <v>4</v>
      </c>
      <c r="B15" s="6" t="s">
        <v>17</v>
      </c>
      <c r="C15" s="12">
        <v>150.5</v>
      </c>
    </row>
    <row r="16" spans="1:3" x14ac:dyDescent="0.5">
      <c r="A16" s="6" t="s">
        <v>4</v>
      </c>
      <c r="B16" s="6" t="s">
        <v>18</v>
      </c>
      <c r="C16" s="12">
        <v>153.4</v>
      </c>
    </row>
    <row r="17" spans="1:3" x14ac:dyDescent="0.5">
      <c r="A17" s="6" t="s">
        <v>20</v>
      </c>
      <c r="B17" s="6" t="s">
        <v>21</v>
      </c>
      <c r="C17" s="12">
        <v>900</v>
      </c>
    </row>
    <row r="18" spans="1:3" x14ac:dyDescent="0.5">
      <c r="A18" s="3" t="s">
        <v>20</v>
      </c>
      <c r="B18" s="3" t="s">
        <v>22</v>
      </c>
      <c r="C18" s="4">
        <v>300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Professor</vt:lpstr>
      <vt:lpstr>Fran</vt:lpstr>
      <vt:lpstr>Pedro</vt:lpstr>
      <vt:lpstr>Iasmin</vt:lpstr>
      <vt:lpstr>Ana</vt:lpstr>
      <vt:lpstr>Ana(Aluno)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2026-05-11T19:16:41Z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2026-05-11T19:09:36Z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e4070d48-82f6-40f5-b3f7-f56b964db2b2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
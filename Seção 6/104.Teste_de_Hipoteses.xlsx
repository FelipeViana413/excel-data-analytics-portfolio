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05" documentId="13_ncr:1_{B8A938F4-1E3A-458F-B4E7-F82C730247C8}" xr6:coauthVersionLast="47" xr6:coauthVersionMax="47" xr10:uidLastSave="{1E781F3C-C939-4B3B-938F-039C8B2D7DBA}"/>
  <bookViews>
    <workbookView xWindow="-110" yWindow="-110" windowWidth="19420" windowHeight="11500" tabRatio="852" firstSheet="1" activeTab="4" xr2:uid="{B0C019F5-D846-4566-8442-F345D5A07EE7}"/>
  </bookViews>
  <sheets>
    <sheet name="Gerenciador de Cenários" sheetId="1" r:id="rId1"/>
    <sheet name="Atingir Meta Exemplo 1" sheetId="4" r:id="rId2"/>
    <sheet name="Atingir Meta Exemplo 2" sheetId="7" r:id="rId3"/>
    <sheet name="Tabela de Dados exemplo 1" sheetId="5" r:id="rId4"/>
    <sheet name="Tabela de Dados exemplo 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6" l="1"/>
  <c r="E24" i="6"/>
  <c r="D24" i="6"/>
  <c r="F24" i="6" s="1"/>
  <c r="E23" i="6"/>
  <c r="D23" i="6"/>
  <c r="E22" i="6"/>
  <c r="D22" i="6"/>
  <c r="F22" i="6" s="1"/>
  <c r="E21" i="6"/>
  <c r="D21" i="6"/>
  <c r="F21" i="6" s="1"/>
  <c r="E20" i="6"/>
  <c r="D20" i="6"/>
  <c r="F20" i="6" s="1"/>
  <c r="E19" i="6"/>
  <c r="D19" i="6"/>
  <c r="E18" i="6"/>
  <c r="D18" i="6"/>
  <c r="E17" i="6"/>
  <c r="D17" i="6"/>
  <c r="E16" i="6"/>
  <c r="D16" i="6"/>
  <c r="E15" i="6"/>
  <c r="D15" i="6"/>
  <c r="E14" i="6"/>
  <c r="D14" i="6"/>
  <c r="F14" i="6" s="1"/>
  <c r="E13" i="6"/>
  <c r="D13" i="6"/>
  <c r="C25" i="5"/>
  <c r="E24" i="5"/>
  <c r="D24" i="5"/>
  <c r="F24" i="5" s="1"/>
  <c r="E23" i="5"/>
  <c r="D23" i="5"/>
  <c r="F23" i="5" s="1"/>
  <c r="E22" i="5"/>
  <c r="D22" i="5"/>
  <c r="E21" i="5"/>
  <c r="D21" i="5"/>
  <c r="F21" i="5" s="1"/>
  <c r="E20" i="5"/>
  <c r="D20" i="5"/>
  <c r="E19" i="5"/>
  <c r="D19" i="5"/>
  <c r="E18" i="5"/>
  <c r="D18" i="5"/>
  <c r="E17" i="5"/>
  <c r="D17" i="5"/>
  <c r="E16" i="5"/>
  <c r="D16" i="5"/>
  <c r="E15" i="5"/>
  <c r="D15" i="5"/>
  <c r="F15" i="5" s="1"/>
  <c r="E14" i="5"/>
  <c r="D14" i="5"/>
  <c r="E13" i="5"/>
  <c r="D13" i="5"/>
  <c r="C25" i="7"/>
  <c r="E24" i="7"/>
  <c r="D24" i="7"/>
  <c r="F24" i="7" s="1"/>
  <c r="E23" i="7"/>
  <c r="D23" i="7"/>
  <c r="F23" i="7" s="1"/>
  <c r="E22" i="7"/>
  <c r="D22" i="7"/>
  <c r="F22" i="7" s="1"/>
  <c r="E21" i="7"/>
  <c r="D21" i="7"/>
  <c r="E20" i="7"/>
  <c r="D20" i="7"/>
  <c r="E19" i="7"/>
  <c r="D19" i="7"/>
  <c r="E18" i="7"/>
  <c r="D18" i="7"/>
  <c r="F18" i="7" s="1"/>
  <c r="E17" i="7"/>
  <c r="D17" i="7"/>
  <c r="F17" i="7" s="1"/>
  <c r="E16" i="7"/>
  <c r="D16" i="7"/>
  <c r="F16" i="7" s="1"/>
  <c r="E15" i="7"/>
  <c r="D15" i="7"/>
  <c r="E14" i="7"/>
  <c r="D14" i="7"/>
  <c r="F14" i="7" s="1"/>
  <c r="E13" i="7"/>
  <c r="D13" i="7"/>
  <c r="C25" i="4"/>
  <c r="E24" i="4"/>
  <c r="D24" i="4"/>
  <c r="E23" i="4"/>
  <c r="D23" i="4"/>
  <c r="E22" i="4"/>
  <c r="D22" i="4"/>
  <c r="E21" i="4"/>
  <c r="D21" i="4"/>
  <c r="F21" i="4" s="1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F14" i="4" s="1"/>
  <c r="E13" i="4"/>
  <c r="D13" i="4"/>
  <c r="E14" i="1"/>
  <c r="E15" i="1"/>
  <c r="E16" i="1"/>
  <c r="E17" i="1"/>
  <c r="E18" i="1"/>
  <c r="E19" i="1"/>
  <c r="E20" i="1"/>
  <c r="E21" i="1"/>
  <c r="E22" i="1"/>
  <c r="E23" i="1"/>
  <c r="E24" i="1"/>
  <c r="E13" i="1"/>
  <c r="D14" i="1"/>
  <c r="F14" i="1" s="1"/>
  <c r="D15" i="1"/>
  <c r="D16" i="1"/>
  <c r="F16" i="1" s="1"/>
  <c r="D17" i="1"/>
  <c r="F17" i="1" s="1"/>
  <c r="D18" i="1"/>
  <c r="D19" i="1"/>
  <c r="D20" i="1"/>
  <c r="F20" i="1" s="1"/>
  <c r="D21" i="1"/>
  <c r="F21" i="1" s="1"/>
  <c r="D22" i="1"/>
  <c r="F22" i="1" s="1"/>
  <c r="D23" i="1"/>
  <c r="D24" i="1"/>
  <c r="D13" i="1"/>
  <c r="H24" i="6"/>
  <c r="H25" i="6" s="1"/>
  <c r="H26" i="6" s="1"/>
  <c r="H27" i="6" s="1"/>
  <c r="H28" i="6" s="1"/>
  <c r="H29" i="6" s="1"/>
  <c r="H30" i="6" s="1"/>
  <c r="H31" i="6" s="1"/>
  <c r="H32" i="6" s="1"/>
  <c r="H23" i="6"/>
  <c r="J21" i="6"/>
  <c r="K21" i="6" s="1"/>
  <c r="L21" i="6" s="1"/>
  <c r="M21" i="6" s="1"/>
  <c r="N21" i="6" s="1"/>
  <c r="O21" i="6" s="1"/>
  <c r="C25" i="1"/>
  <c r="F15" i="6" l="1"/>
  <c r="F18" i="6"/>
  <c r="F17" i="6"/>
  <c r="F23" i="6"/>
  <c r="F16" i="6"/>
  <c r="F13" i="6"/>
  <c r="F19" i="6"/>
  <c r="D25" i="6"/>
  <c r="F16" i="5"/>
  <c r="F18" i="5"/>
  <c r="F14" i="5"/>
  <c r="F22" i="5"/>
  <c r="F17" i="5"/>
  <c r="F20" i="5"/>
  <c r="F13" i="5"/>
  <c r="F19" i="5"/>
  <c r="D25" i="5"/>
  <c r="F20" i="7"/>
  <c r="F13" i="7"/>
  <c r="F15" i="7"/>
  <c r="F21" i="7"/>
  <c r="F19" i="7"/>
  <c r="D25" i="7"/>
  <c r="F22" i="4"/>
  <c r="F18" i="4"/>
  <c r="F24" i="4"/>
  <c r="F15" i="4"/>
  <c r="F20" i="4"/>
  <c r="F16" i="4"/>
  <c r="F17" i="4"/>
  <c r="F23" i="4"/>
  <c r="F13" i="4"/>
  <c r="F19" i="4"/>
  <c r="D25" i="4"/>
  <c r="F23" i="1"/>
  <c r="F15" i="1"/>
  <c r="F19" i="1"/>
  <c r="F18" i="1"/>
  <c r="F24" i="1"/>
  <c r="D25" i="1"/>
  <c r="F13" i="1"/>
  <c r="F25" i="6" l="1"/>
  <c r="F25" i="5"/>
  <c r="F25" i="7"/>
  <c r="F25" i="4"/>
  <c r="F25" i="1"/>
  <c r="I15" i="1" l="1"/>
  <c r="I18" i="1" s="1"/>
  <c r="I15" i="4" l="1"/>
  <c r="I18" i="4" s="1"/>
  <c r="I15" i="6" l="1"/>
  <c r="H21" i="6" s="1"/>
  <c r="I15" i="5"/>
  <c r="I22" i="5" s="1"/>
  <c r="I15" i="7"/>
  <c r="I18" i="7" s="1"/>
  <c r="I18" i="6" l="1"/>
  <c r="I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tc={FCA0BA92-11C7-4DEF-A1D3-7995FD03B71A}</author>
  </authors>
  <commentList>
    <comment ref="H21" authorId="0" shapeId="0" xr:uid="{FCA0BA92-11C7-4DEF-A1D3-7995FD03B7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</t>
      </text>
    </comment>
  </commentList>
</comments>
</file>

<file path=xl/sharedStrings.xml><?xml version="1.0" encoding="utf-8"?>
<sst xmlns="http://schemas.openxmlformats.org/spreadsheetml/2006/main" count="158" uniqueCount="43">
  <si>
    <t>Curso de Excel do Básico ao Avançado</t>
  </si>
  <si>
    <t>Professor:</t>
  </si>
  <si>
    <t xml:space="preserve">     Clevison Santos</t>
  </si>
  <si>
    <t>Aula:</t>
  </si>
  <si>
    <t xml:space="preserve"> Cenários</t>
  </si>
  <si>
    <t>Mês</t>
  </si>
  <si>
    <t>Qtd Vendas</t>
  </si>
  <si>
    <t>Preço Produto</t>
  </si>
  <si>
    <t>Lucro</t>
  </si>
  <si>
    <t>Cenário 1</t>
  </si>
  <si>
    <t>Cenário 2</t>
  </si>
  <si>
    <t>Cenário 3</t>
  </si>
  <si>
    <t>Cenário 4</t>
  </si>
  <si>
    <t>Cenário 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</si>
  <si>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</si>
  <si>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</si>
  <si>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</si>
  <si>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</si>
  <si>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</si>
  <si>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</si>
  <si>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</si>
  <si>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</si>
  <si>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</si>
  <si>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</si>
  <si>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</si>
  <si>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</si>
  <si>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de Receita</t>
  </si>
  <si>
    <t>Custo Total Produtos</t>
  </si>
  <si>
    <t>Preço Unitário</t>
  </si>
  <si>
    <t>Receita do Mês</t>
  </si>
  <si>
    <t>Venda de Salgadinhos</t>
  </si>
  <si>
    <t xml:space="preserve"> Meta</t>
  </si>
  <si>
    <t xml:space="preserve"> Tabela de Dados</t>
  </si>
  <si>
    <t>Cenários</t>
  </si>
  <si>
    <t>Quantidade</t>
  </si>
  <si>
    <t>Quantidade Vendas</t>
  </si>
  <si>
    <t>% Vendas</t>
  </si>
  <si>
    <t>Pergunta: Quanto preciso cobrar por produto para ter um lucro X ?</t>
  </si>
  <si>
    <t>de 90.000?</t>
  </si>
  <si>
    <t>Pergunta: Quantos produtos preciso vender para ter um lucro</t>
  </si>
  <si>
    <t>Pergunta: Qual é o lucro testando vários preços unitários?</t>
  </si>
  <si>
    <t>Pergunta: Qual é o lucro testando preço e quantidade vendida?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</si>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</sst>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&quot;R$&quot;\ #,##0"/>
    <numFmt numFmtId="167" formatCode="#,##0.00_ ;[Red]\-#,##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1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1" xfId="0" applyFont="1" applyBorder="1"/>
    <xf numFmtId="44" fontId="6" fillId="0" borderId="1" xfId="2" applyFont="1" applyBorder="1"/>
    <xf numFmtId="0" fontId="0" fillId="2" borderId="0" xfId="0" applyFill="1" applyAlignment="1">
      <alignment horizontal="center"/>
    </xf>
    <xf numFmtId="44" fontId="6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9" fontId="6" fillId="0" borderId="0" xfId="3" applyFont="1" applyBorder="1" applyAlignment="1">
      <alignment horizontal="center"/>
    </xf>
    <xf numFmtId="164" fontId="6" fillId="4" borderId="3" xfId="1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165" fontId="6" fillId="0" borderId="1" xfId="2" applyNumberFormat="1" applyFont="1" applyBorder="1"/>
    <xf numFmtId="164" fontId="6" fillId="0" borderId="1" xfId="2" applyNumberFormat="1" applyFont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9" fontId="5" fillId="9" borderId="2" xfId="0" applyNumberFormat="1" applyFont="1" applyFill="1" applyBorder="1" applyAlignment="1">
      <alignment horizontal="center"/>
    </xf>
    <xf numFmtId="164" fontId="5" fillId="9" borderId="2" xfId="1" applyNumberFormat="1" applyFont="1" applyFill="1" applyBorder="1" applyAlignment="1">
      <alignment horizontal="center"/>
    </xf>
    <xf numFmtId="165" fontId="5" fillId="9" borderId="0" xfId="0" applyNumberFormat="1" applyFont="1" applyFill="1" applyAlignment="1">
      <alignment horizontal="center"/>
    </xf>
    <xf numFmtId="0" fontId="5" fillId="9" borderId="4" xfId="0" applyFont="1" applyFill="1" applyBorder="1" applyAlignment="1">
      <alignment horizontal="left"/>
    </xf>
    <xf numFmtId="165" fontId="5" fillId="9" borderId="4" xfId="2" applyNumberFormat="1" applyFont="1" applyFill="1" applyBorder="1" applyAlignment="1">
      <alignment horizontal="center"/>
    </xf>
    <xf numFmtId="3" fontId="5" fillId="9" borderId="4" xfId="0" applyNumberFormat="1" applyFont="1" applyFill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167" fontId="6" fillId="0" borderId="1" xfId="2" applyNumberFormat="1" applyFont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0"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evison Santos" id="{52848117-A257-4CC1-8239-EA342C91766F}" userId="S::clevison.santos@br.ey.com::1bb686f2-7db8-4f49-8d81-2bd17297110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1" dT="2023-02-15T22:03:46.13" personId="{52848117-A257-4CC1-8239-EA342C91766F}" id="{FCA0BA92-11C7-4DEF-A1D3-7995FD03B71A}">
    <text>Lucro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04A1-18E1-4EC6-894D-FDB7058694AB}">
  <dimension ref="B1:N32"/>
  <sheetViews>
    <sheetView showGridLines="0" topLeftCell="A5" zoomScale="68" workbookViewId="0">
      <selection activeCell="I15" sqref="I15"/>
    </sheetView>
  </sheetViews>
  <sheetFormatPr defaultRowHeight="14.5" x14ac:dyDescent="0.35"/>
  <cols>
    <col min="2" max="2" width="15.81640625" customWidth="1"/>
    <col min="3" max="3" width="16.6328125" style="9" customWidth="1"/>
    <col min="4" max="4" width="17" style="9" customWidth="1"/>
    <col min="5" max="5" width="18.1796875" style="9" bestFit="1" customWidth="1"/>
    <col min="6" max="6" width="20.81640625" style="9" customWidth="1"/>
    <col min="8" max="8" width="29.54296875" customWidth="1"/>
    <col min="9" max="9" width="27.81640625" style="9" customWidth="1"/>
    <col min="10" max="10" width="30.36328125" style="9" customWidth="1"/>
  </cols>
  <sheetData>
    <row r="1" spans="2:14" s="1" customFormat="1" x14ac:dyDescent="0.35">
      <c r="C1" s="7"/>
      <c r="D1" s="7"/>
      <c r="E1" s="7"/>
      <c r="F1" s="7"/>
      <c r="I1" s="7"/>
      <c r="J1" s="7"/>
    </row>
    <row r="2" spans="2:14" s="1" customFormat="1" ht="15.65" customHeight="1" x14ac:dyDescent="0.3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" customHeight="1" x14ac:dyDescent="0.3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" customHeight="1" x14ac:dyDescent="0.3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5" x14ac:dyDescent="0.55000000000000004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5" x14ac:dyDescent="0.55000000000000004">
      <c r="B6" s="38" t="s">
        <v>3</v>
      </c>
      <c r="C6" s="38"/>
      <c r="D6" s="12" t="s">
        <v>4</v>
      </c>
      <c r="E6" s="7"/>
      <c r="F6" s="7"/>
      <c r="I6" s="7"/>
      <c r="J6" s="7"/>
    </row>
    <row r="7" spans="2:14" s="1" customFormat="1" x14ac:dyDescent="0.35">
      <c r="C7" s="7"/>
      <c r="D7" s="7"/>
      <c r="E7" s="7"/>
      <c r="F7" s="7"/>
      <c r="I7" s="7"/>
      <c r="J7" s="7"/>
    </row>
    <row r="10" spans="2:14" ht="28.5" x14ac:dyDescent="0.6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2000</v>
      </c>
    </row>
    <row r="13" spans="2:14" ht="21" x14ac:dyDescent="0.5">
      <c r="B13" s="2" t="s">
        <v>14</v>
      </c>
      <c r="C13" s="14">
        <v>0.08</v>
      </c>
      <c r="D13" s="15">
        <f>$I$12*C13</f>
        <v>160</v>
      </c>
      <c r="E13" s="16">
        <f>$I$13</f>
        <v>9</v>
      </c>
      <c r="F13" s="16">
        <f>D13*E13</f>
        <v>1440</v>
      </c>
      <c r="H13" s="5" t="s">
        <v>7</v>
      </c>
      <c r="I13" s="8">
        <v>9</v>
      </c>
    </row>
    <row r="14" spans="2:14" ht="21" x14ac:dyDescent="0.5">
      <c r="B14" s="2" t="s">
        <v>15</v>
      </c>
      <c r="C14" s="14">
        <v>0.06</v>
      </c>
      <c r="D14" s="15">
        <f t="shared" ref="D14:D24" si="0">$I$12*C14</f>
        <v>120</v>
      </c>
      <c r="E14" s="16">
        <f t="shared" ref="E14:E24" si="1">$I$13</f>
        <v>9</v>
      </c>
      <c r="F14" s="16">
        <f t="shared" ref="F14:F24" si="2">D14*E14</f>
        <v>1080</v>
      </c>
    </row>
    <row r="15" spans="2:14" ht="21" x14ac:dyDescent="0.5">
      <c r="B15" s="2" t="s">
        <v>16</v>
      </c>
      <c r="C15" s="14">
        <v>0.08</v>
      </c>
      <c r="D15" s="15">
        <f t="shared" si="0"/>
        <v>160</v>
      </c>
      <c r="E15" s="16">
        <f t="shared" si="1"/>
        <v>9</v>
      </c>
      <c r="F15" s="16">
        <f t="shared" si="2"/>
        <v>1440</v>
      </c>
      <c r="H15" s="4" t="s">
        <v>26</v>
      </c>
      <c r="I15" s="19">
        <f>SUM(F13:F24)</f>
        <v>18000</v>
      </c>
      <c r="J15" s="10"/>
    </row>
    <row r="16" spans="2:14" ht="21" x14ac:dyDescent="0.5">
      <c r="B16" s="2" t="s">
        <v>17</v>
      </c>
      <c r="C16" s="14">
        <v>0.09</v>
      </c>
      <c r="D16" s="15">
        <f t="shared" si="0"/>
        <v>180</v>
      </c>
      <c r="E16" s="16">
        <f t="shared" si="1"/>
        <v>9</v>
      </c>
      <c r="F16" s="16">
        <f t="shared" si="2"/>
        <v>1620</v>
      </c>
      <c r="H16" s="4" t="s">
        <v>27</v>
      </c>
      <c r="I16" s="18">
        <v>120000</v>
      </c>
      <c r="J16" s="10"/>
    </row>
    <row r="17" spans="2:10" ht="21" x14ac:dyDescent="0.5">
      <c r="B17" s="2" t="s">
        <v>18</v>
      </c>
      <c r="C17" s="14">
        <v>0.09</v>
      </c>
      <c r="D17" s="15">
        <f t="shared" si="0"/>
        <v>180</v>
      </c>
      <c r="E17" s="16">
        <f t="shared" si="1"/>
        <v>9</v>
      </c>
      <c r="F17" s="16">
        <f t="shared" si="2"/>
        <v>1620</v>
      </c>
      <c r="H17" s="4"/>
      <c r="I17" s="10"/>
      <c r="J17" s="10"/>
    </row>
    <row r="18" spans="2:10" ht="21" x14ac:dyDescent="0.5">
      <c r="B18" s="2" t="s">
        <v>19</v>
      </c>
      <c r="C18" s="14">
        <v>0.08</v>
      </c>
      <c r="D18" s="15">
        <f t="shared" si="0"/>
        <v>160</v>
      </c>
      <c r="E18" s="16">
        <f t="shared" si="1"/>
        <v>9</v>
      </c>
      <c r="F18" s="16">
        <f t="shared" si="2"/>
        <v>1440</v>
      </c>
      <c r="H18" s="4" t="s">
        <v>8</v>
      </c>
      <c r="I18" s="20">
        <f>I15-I16</f>
        <v>-102000</v>
      </c>
      <c r="J18" s="10"/>
    </row>
    <row r="19" spans="2:10" ht="21" x14ac:dyDescent="0.5">
      <c r="B19" s="2" t="s">
        <v>20</v>
      </c>
      <c r="C19" s="14">
        <v>0.08</v>
      </c>
      <c r="D19" s="15">
        <f t="shared" si="0"/>
        <v>160</v>
      </c>
      <c r="E19" s="16">
        <f t="shared" si="1"/>
        <v>9</v>
      </c>
      <c r="F19" s="16">
        <f t="shared" si="2"/>
        <v>1440</v>
      </c>
      <c r="H19" s="4"/>
      <c r="I19" s="10"/>
      <c r="J19" s="10"/>
    </row>
    <row r="20" spans="2:10" ht="21" x14ac:dyDescent="0.5">
      <c r="B20" s="2" t="s">
        <v>21</v>
      </c>
      <c r="C20" s="14">
        <v>0.09</v>
      </c>
      <c r="D20" s="15">
        <f t="shared" si="0"/>
        <v>180</v>
      </c>
      <c r="E20" s="16">
        <f t="shared" si="1"/>
        <v>9</v>
      </c>
      <c r="F20" s="16">
        <f t="shared" si="2"/>
        <v>1620</v>
      </c>
      <c r="H20" s="13" t="s">
        <v>33</v>
      </c>
      <c r="I20" s="13" t="s">
        <v>7</v>
      </c>
      <c r="J20" s="13" t="s">
        <v>35</v>
      </c>
    </row>
    <row r="21" spans="2:10" ht="21" x14ac:dyDescent="0.5">
      <c r="B21" s="2" t="s">
        <v>22</v>
      </c>
      <c r="C21" s="14">
        <v>0.08</v>
      </c>
      <c r="D21" s="15">
        <f t="shared" si="0"/>
        <v>160</v>
      </c>
      <c r="E21" s="16">
        <f t="shared" si="1"/>
        <v>9</v>
      </c>
      <c r="F21" s="16">
        <f t="shared" si="2"/>
        <v>1440</v>
      </c>
      <c r="H21" s="11" t="s">
        <v>9</v>
      </c>
      <c r="I21" s="8">
        <v>2</v>
      </c>
      <c r="J21" s="23">
        <v>100000</v>
      </c>
    </row>
    <row r="22" spans="2:10" ht="21" x14ac:dyDescent="0.5">
      <c r="B22" s="2" t="s">
        <v>23</v>
      </c>
      <c r="C22" s="14">
        <v>0.08</v>
      </c>
      <c r="D22" s="15">
        <f t="shared" si="0"/>
        <v>160</v>
      </c>
      <c r="E22" s="16">
        <f t="shared" si="1"/>
        <v>9</v>
      </c>
      <c r="F22" s="16">
        <f t="shared" si="2"/>
        <v>1440</v>
      </c>
      <c r="H22" s="11" t="s">
        <v>10</v>
      </c>
      <c r="I22" s="8">
        <v>4</v>
      </c>
      <c r="J22" s="23">
        <v>70000</v>
      </c>
    </row>
    <row r="23" spans="2:10" ht="21" x14ac:dyDescent="0.5">
      <c r="B23" s="2" t="s">
        <v>24</v>
      </c>
      <c r="C23" s="14">
        <v>0.1</v>
      </c>
      <c r="D23" s="15">
        <f t="shared" si="0"/>
        <v>200</v>
      </c>
      <c r="E23" s="16">
        <f t="shared" si="1"/>
        <v>9</v>
      </c>
      <c r="F23" s="16">
        <f t="shared" si="2"/>
        <v>1800</v>
      </c>
      <c r="H23" s="11" t="s">
        <v>11</v>
      </c>
      <c r="I23" s="8">
        <v>6</v>
      </c>
      <c r="J23" s="23">
        <v>30000</v>
      </c>
    </row>
    <row r="24" spans="2:10" ht="21" x14ac:dyDescent="0.5">
      <c r="B24" s="2" t="s">
        <v>25</v>
      </c>
      <c r="C24" s="14">
        <v>0.09</v>
      </c>
      <c r="D24" s="15">
        <f t="shared" si="0"/>
        <v>180</v>
      </c>
      <c r="E24" s="16">
        <f t="shared" si="1"/>
        <v>9</v>
      </c>
      <c r="F24" s="16">
        <f t="shared" si="2"/>
        <v>1620</v>
      </c>
      <c r="H24" s="11" t="s">
        <v>12</v>
      </c>
      <c r="I24" s="8">
        <v>8</v>
      </c>
      <c r="J24" s="23">
        <v>10000</v>
      </c>
    </row>
    <row r="25" spans="2:10" ht="21" x14ac:dyDescent="0.5">
      <c r="B25" s="3"/>
      <c r="C25" s="30">
        <f>SUM(C13:C24)</f>
        <v>0.99999999999999989</v>
      </c>
      <c r="D25" s="31">
        <f>SUM(D13:D24)</f>
        <v>2000</v>
      </c>
      <c r="E25" s="17"/>
      <c r="F25" s="32">
        <f>SUM(F13:F24)</f>
        <v>18000</v>
      </c>
      <c r="H25" s="11" t="s">
        <v>13</v>
      </c>
      <c r="I25" s="8">
        <v>9</v>
      </c>
      <c r="J25" s="23">
        <v>2000</v>
      </c>
    </row>
    <row r="26" spans="2:10" x14ac:dyDescent="0.35">
      <c r="I26"/>
      <c r="J26"/>
    </row>
    <row r="27" spans="2:10" x14ac:dyDescent="0.35">
      <c r="I27"/>
      <c r="J27"/>
    </row>
    <row r="28" spans="2:10" x14ac:dyDescent="0.35">
      <c r="I28"/>
      <c r="J28"/>
    </row>
    <row r="29" spans="2:10" x14ac:dyDescent="0.35">
      <c r="I29"/>
      <c r="J29"/>
    </row>
    <row r="30" spans="2:10" x14ac:dyDescent="0.35">
      <c r="I30"/>
      <c r="J30"/>
    </row>
    <row r="31" spans="2:10" x14ac:dyDescent="0.35">
      <c r="I31"/>
      <c r="J31"/>
    </row>
    <row r="32" spans="2:10" x14ac:dyDescent="0.35">
      <c r="I32"/>
      <c r="J32"/>
    </row>
  </sheetData>
  <scenarios current="4" show="4">
    <scenario name="Cenário 3" locked="1" count="2" user="Felipe Gomes Viana Da Silva, Enel 2" comment="Criado por Felipe Gomes Viana Da Silva, Enel 2 em 02/07/2026_x000a_Alterado por Felipe Gomes Viana Da Silva, Enel 2 em 02/07/2026">
      <inputCells r="I12" val="30000" numFmtId="164"/>
      <inputCells r="I13" val="6" numFmtId="44"/>
    </scenario>
    <scenario name="Cenário 1" locked="1" count="2" user="Felipe Gomes Viana Da Silva, Enel 2" comment="Criado por Felipe Gomes Viana Da Silva, Enel 2 em 02/07/2026">
      <inputCells r="I12" val="100000" numFmtId="164"/>
      <inputCells r="I13" val="2" numFmtId="44"/>
    </scenario>
    <scenario name="Cenário 2" locked="1" count="2" user="Felipe Gomes Viana Da Silva, Enel 2" comment="Criado por Felipe Gomes Viana Da Silva, Enel 2 em 02/07/2026">
      <inputCells r="I12" val="70000" numFmtId="164"/>
      <inputCells r="I13" val="4" numFmtId="44"/>
    </scenario>
    <scenario name="Cenário 4" locked="1" count="2" user="Felipe Gomes Viana Da Silva, Enel 2" comment="Criado por Felipe Gomes Viana Da Silva, Enel 2 em 02/07/2026">
      <inputCells r="I12" val="10000" numFmtId="164"/>
      <inputCells r="I13" val="8" numFmtId="44"/>
    </scenario>
    <scenario name="Cenário 5" locked="1" count="2" user="Felipe Gomes Viana Da Silva, Enel 2" comment="Criado por Felipe Gomes Viana Da Silva, Enel 2 em 02/07/2026">
      <inputCells r="I12" val="2000" numFmtId="164"/>
      <inputCells r="I13" val="9" numFmtId="44"/>
    </scenario>
  </scenarios>
  <mergeCells count="4">
    <mergeCell ref="B2:N4"/>
    <mergeCell ref="B5:C5"/>
    <mergeCell ref="B6:C6"/>
    <mergeCell ref="B10:I10"/>
  </mergeCells>
  <phoneticPr fontId="7" type="noConversion"/>
  <conditionalFormatting sqref="I18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4450-8170-4476-89E4-0724D664AFDF}">
  <dimension ref="B1:N29"/>
  <sheetViews>
    <sheetView showGridLines="0" topLeftCell="A9" zoomScale="92" workbookViewId="0">
      <selection activeCell="I16" sqref="I16"/>
    </sheetView>
  </sheetViews>
  <sheetFormatPr defaultRowHeight="14.5" x14ac:dyDescent="0.35"/>
  <cols>
    <col min="2" max="2" width="15.81640625" customWidth="1"/>
    <col min="3" max="3" width="16.6328125" style="9" customWidth="1"/>
    <col min="4" max="4" width="17" style="9" customWidth="1"/>
    <col min="5" max="5" width="18.1796875" style="9" bestFit="1" customWidth="1"/>
    <col min="6" max="6" width="20.81640625" style="9" customWidth="1"/>
    <col min="8" max="8" width="29.54296875" customWidth="1"/>
    <col min="9" max="9" width="21.90625" style="9" customWidth="1"/>
    <col min="10" max="10" width="8.81640625" style="9"/>
  </cols>
  <sheetData>
    <row r="1" spans="2:14" s="1" customFormat="1" x14ac:dyDescent="0.35">
      <c r="C1" s="7"/>
      <c r="D1" s="7"/>
      <c r="E1" s="7"/>
      <c r="F1" s="7"/>
      <c r="I1" s="7"/>
      <c r="J1" s="7"/>
    </row>
    <row r="2" spans="2:14" s="1" customFormat="1" ht="15.65" customHeight="1" x14ac:dyDescent="0.3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" customHeight="1" x14ac:dyDescent="0.3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" customHeight="1" x14ac:dyDescent="0.3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5" x14ac:dyDescent="0.55000000000000004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5" x14ac:dyDescent="0.55000000000000004">
      <c r="B6" s="38" t="s">
        <v>3</v>
      </c>
      <c r="C6" s="38"/>
      <c r="D6" s="12" t="s">
        <v>31</v>
      </c>
      <c r="E6" s="7"/>
      <c r="F6" s="7"/>
      <c r="I6" s="7"/>
      <c r="J6" s="7"/>
    </row>
    <row r="7" spans="2:14" s="1" customFormat="1" x14ac:dyDescent="0.35">
      <c r="C7" s="7"/>
      <c r="D7" s="7"/>
      <c r="E7" s="7"/>
      <c r="F7" s="7"/>
      <c r="I7" s="7"/>
      <c r="J7" s="7"/>
    </row>
    <row r="10" spans="2:14" ht="28.5" x14ac:dyDescent="0.6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5000</v>
      </c>
    </row>
    <row r="13" spans="2:14" ht="21" x14ac:dyDescent="0.5">
      <c r="B13" s="2" t="s">
        <v>14</v>
      </c>
      <c r="C13" s="14">
        <v>0.08</v>
      </c>
      <c r="D13" s="15">
        <f>$I$12*C13</f>
        <v>400</v>
      </c>
      <c r="E13" s="16">
        <f>$I$13</f>
        <v>29.999999999999996</v>
      </c>
      <c r="F13" s="16">
        <f>D13*E13</f>
        <v>11999.999999999998</v>
      </c>
      <c r="H13" s="5" t="s">
        <v>7</v>
      </c>
      <c r="I13" s="24">
        <v>29.999999999999996</v>
      </c>
    </row>
    <row r="14" spans="2:14" ht="21" x14ac:dyDescent="0.5">
      <c r="B14" s="2" t="s">
        <v>15</v>
      </c>
      <c r="C14" s="14">
        <v>0.06</v>
      </c>
      <c r="D14" s="15">
        <f t="shared" ref="D14:D24" si="0">$I$12*C14</f>
        <v>300</v>
      </c>
      <c r="E14" s="16">
        <f t="shared" ref="E14:E24" si="1">$I$13</f>
        <v>29.999999999999996</v>
      </c>
      <c r="F14" s="16">
        <f t="shared" ref="F14:F24" si="2">D14*E14</f>
        <v>8999.9999999999982</v>
      </c>
    </row>
    <row r="15" spans="2:14" ht="21" x14ac:dyDescent="0.5">
      <c r="B15" s="2" t="s">
        <v>16</v>
      </c>
      <c r="C15" s="14">
        <v>0.08</v>
      </c>
      <c r="D15" s="15">
        <f t="shared" si="0"/>
        <v>400</v>
      </c>
      <c r="E15" s="16">
        <f t="shared" si="1"/>
        <v>29.999999999999996</v>
      </c>
      <c r="F15" s="16">
        <f t="shared" si="2"/>
        <v>11999.999999999998</v>
      </c>
      <c r="H15" s="4" t="s">
        <v>26</v>
      </c>
      <c r="I15" s="19">
        <f>SUM(F13:F24)</f>
        <v>149999.99999999997</v>
      </c>
      <c r="J15" s="10"/>
    </row>
    <row r="16" spans="2:14" ht="21" x14ac:dyDescent="0.5">
      <c r="B16" s="2" t="s">
        <v>17</v>
      </c>
      <c r="C16" s="14">
        <v>0.09</v>
      </c>
      <c r="D16" s="15">
        <f t="shared" si="0"/>
        <v>450</v>
      </c>
      <c r="E16" s="16">
        <f t="shared" si="1"/>
        <v>29.999999999999996</v>
      </c>
      <c r="F16" s="16">
        <f t="shared" si="2"/>
        <v>13499.999999999998</v>
      </c>
      <c r="H16" s="4" t="s">
        <v>27</v>
      </c>
      <c r="I16" s="18">
        <v>120000</v>
      </c>
      <c r="J16" s="10"/>
    </row>
    <row r="17" spans="2:11" ht="21" x14ac:dyDescent="0.5">
      <c r="B17" s="2" t="s">
        <v>18</v>
      </c>
      <c r="C17" s="14">
        <v>0.09</v>
      </c>
      <c r="D17" s="15">
        <f t="shared" si="0"/>
        <v>450</v>
      </c>
      <c r="E17" s="16">
        <f t="shared" si="1"/>
        <v>29.999999999999996</v>
      </c>
      <c r="F17" s="16">
        <f t="shared" si="2"/>
        <v>13499.999999999998</v>
      </c>
      <c r="H17" s="4"/>
      <c r="I17" s="10"/>
      <c r="J17" s="10"/>
    </row>
    <row r="18" spans="2:11" ht="21" x14ac:dyDescent="0.5">
      <c r="B18" s="2" t="s">
        <v>19</v>
      </c>
      <c r="C18" s="14">
        <v>0.08</v>
      </c>
      <c r="D18" s="15">
        <f t="shared" si="0"/>
        <v>400</v>
      </c>
      <c r="E18" s="16">
        <f t="shared" si="1"/>
        <v>29.999999999999996</v>
      </c>
      <c r="F18" s="16">
        <f t="shared" si="2"/>
        <v>11999.999999999998</v>
      </c>
      <c r="H18" s="4" t="s">
        <v>8</v>
      </c>
      <c r="I18" s="20">
        <f>I15-I16</f>
        <v>29999.999999999971</v>
      </c>
      <c r="J18" s="10"/>
    </row>
    <row r="19" spans="2:11" ht="21" x14ac:dyDescent="0.5">
      <c r="B19" s="2" t="s">
        <v>20</v>
      </c>
      <c r="C19" s="14">
        <v>0.08</v>
      </c>
      <c r="D19" s="15">
        <f t="shared" si="0"/>
        <v>400</v>
      </c>
      <c r="E19" s="16">
        <f t="shared" si="1"/>
        <v>29.999999999999996</v>
      </c>
      <c r="F19" s="16">
        <f t="shared" si="2"/>
        <v>11999.999999999998</v>
      </c>
      <c r="H19" s="4"/>
      <c r="I19" s="4"/>
      <c r="J19" s="4"/>
      <c r="K19" s="4"/>
    </row>
    <row r="20" spans="2:11" ht="21" x14ac:dyDescent="0.5">
      <c r="B20" s="2" t="s">
        <v>21</v>
      </c>
      <c r="C20" s="14">
        <v>0.09</v>
      </c>
      <c r="D20" s="15">
        <f t="shared" si="0"/>
        <v>450</v>
      </c>
      <c r="E20" s="16">
        <f t="shared" si="1"/>
        <v>29.999999999999996</v>
      </c>
      <c r="F20" s="16">
        <f t="shared" si="2"/>
        <v>13499.999999999998</v>
      </c>
      <c r="H20" s="4"/>
      <c r="I20" s="4"/>
      <c r="J20" s="4"/>
      <c r="K20" s="4"/>
    </row>
    <row r="21" spans="2:11" ht="21" x14ac:dyDescent="0.5">
      <c r="B21" s="2" t="s">
        <v>22</v>
      </c>
      <c r="C21" s="14">
        <v>0.08</v>
      </c>
      <c r="D21" s="15">
        <f t="shared" si="0"/>
        <v>400</v>
      </c>
      <c r="E21" s="16">
        <f t="shared" si="1"/>
        <v>29.999999999999996</v>
      </c>
      <c r="F21" s="16">
        <f t="shared" si="2"/>
        <v>11999.999999999998</v>
      </c>
      <c r="H21" s="4" t="s">
        <v>37</v>
      </c>
      <c r="I21" s="4"/>
      <c r="J21" s="4"/>
      <c r="K21" s="4"/>
    </row>
    <row r="22" spans="2:11" ht="21" x14ac:dyDescent="0.5">
      <c r="B22" s="2" t="s">
        <v>23</v>
      </c>
      <c r="C22" s="14">
        <v>0.08</v>
      </c>
      <c r="D22" s="15">
        <f t="shared" si="0"/>
        <v>400</v>
      </c>
      <c r="E22" s="16">
        <f t="shared" si="1"/>
        <v>29.999999999999996</v>
      </c>
      <c r="F22" s="16">
        <f t="shared" si="2"/>
        <v>11999.999999999998</v>
      </c>
      <c r="H22" s="4" t="s">
        <v>38</v>
      </c>
      <c r="I22" s="4"/>
      <c r="J22" s="4"/>
      <c r="K22" s="4"/>
    </row>
    <row r="23" spans="2:11" ht="21" x14ac:dyDescent="0.5">
      <c r="B23" s="2" t="s">
        <v>24</v>
      </c>
      <c r="C23" s="14">
        <v>0.1</v>
      </c>
      <c r="D23" s="15">
        <f t="shared" si="0"/>
        <v>500</v>
      </c>
      <c r="E23" s="16">
        <f t="shared" si="1"/>
        <v>29.999999999999996</v>
      </c>
      <c r="F23" s="16">
        <f t="shared" si="2"/>
        <v>14999.999999999998</v>
      </c>
      <c r="H23" s="4"/>
      <c r="I23" s="4"/>
      <c r="J23" s="4"/>
      <c r="K23" s="4"/>
    </row>
    <row r="24" spans="2:11" ht="21" x14ac:dyDescent="0.5">
      <c r="B24" s="2" t="s">
        <v>25</v>
      </c>
      <c r="C24" s="14">
        <v>0.09</v>
      </c>
      <c r="D24" s="15">
        <f t="shared" si="0"/>
        <v>450</v>
      </c>
      <c r="E24" s="16">
        <f t="shared" si="1"/>
        <v>29.999999999999996</v>
      </c>
      <c r="F24" s="16">
        <f t="shared" si="2"/>
        <v>13499.999999999998</v>
      </c>
      <c r="H24" s="4"/>
      <c r="I24" s="4"/>
      <c r="J24" s="4"/>
      <c r="K24" s="4"/>
    </row>
    <row r="25" spans="2:11" ht="21" x14ac:dyDescent="0.5">
      <c r="B25" s="3"/>
      <c r="C25" s="30">
        <f>SUM(C13:C24)</f>
        <v>0.99999999999999989</v>
      </c>
      <c r="D25" s="31">
        <f>SUM(D13:D24)</f>
        <v>5000</v>
      </c>
      <c r="E25" s="17"/>
      <c r="F25" s="32">
        <f>SUM(F13:F24)</f>
        <v>149999.99999999997</v>
      </c>
      <c r="H25" s="4"/>
      <c r="I25" s="4"/>
      <c r="J25" s="4"/>
      <c r="K25" s="4"/>
    </row>
    <row r="26" spans="2:11" ht="21" x14ac:dyDescent="0.5">
      <c r="H26" s="4"/>
      <c r="I26" s="4"/>
      <c r="J26" s="4"/>
      <c r="K26" s="4"/>
    </row>
    <row r="27" spans="2:11" ht="21" x14ac:dyDescent="0.5">
      <c r="H27" s="4"/>
      <c r="I27" s="4"/>
      <c r="J27" s="4"/>
      <c r="K27" s="4"/>
    </row>
    <row r="28" spans="2:11" ht="21" x14ac:dyDescent="0.5">
      <c r="H28" s="4"/>
      <c r="I28" s="4"/>
      <c r="J28" s="4"/>
      <c r="K28" s="4"/>
    </row>
    <row r="29" spans="2:11" ht="21" x14ac:dyDescent="0.5">
      <c r="H29" s="4"/>
      <c r="I29" s="4"/>
      <c r="J29" s="4"/>
      <c r="K29" s="4"/>
    </row>
  </sheetData>
  <mergeCells count="4">
    <mergeCell ref="B2:N4"/>
    <mergeCell ref="B5:C5"/>
    <mergeCell ref="B6:C6"/>
    <mergeCell ref="B10:I10"/>
  </mergeCells>
  <conditionalFormatting sqref="I18">
    <cfRule type="cellIs" dxfId="7" priority="1" operator="lessThan">
      <formula>0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3043-23DE-480A-B143-DB9A942A58FD}">
  <dimension ref="B1:N29"/>
  <sheetViews>
    <sheetView showGridLines="0" topLeftCell="A8" zoomScale="97" zoomScaleNormal="100" workbookViewId="0">
      <selection activeCell="B12" sqref="B12:F25"/>
    </sheetView>
  </sheetViews>
  <sheetFormatPr defaultRowHeight="14.5" x14ac:dyDescent="0.35"/>
  <cols>
    <col min="2" max="2" width="15.81640625" customWidth="1"/>
    <col min="3" max="3" width="16.6328125" style="9" customWidth="1"/>
    <col min="4" max="4" width="17" style="9" customWidth="1"/>
    <col min="5" max="5" width="18.1796875" style="9" bestFit="1" customWidth="1"/>
    <col min="6" max="6" width="20.81640625" style="9" customWidth="1"/>
    <col min="8" max="8" width="29.54296875" customWidth="1"/>
    <col min="9" max="9" width="21.90625" style="9" customWidth="1"/>
    <col min="10" max="10" width="8.81640625" style="9"/>
  </cols>
  <sheetData>
    <row r="1" spans="2:14" s="1" customFormat="1" x14ac:dyDescent="0.35">
      <c r="C1" s="7"/>
      <c r="D1" s="7"/>
      <c r="E1" s="7"/>
      <c r="F1" s="7"/>
      <c r="I1" s="7"/>
      <c r="J1" s="7"/>
    </row>
    <row r="2" spans="2:14" s="1" customFormat="1" ht="15.65" customHeight="1" x14ac:dyDescent="0.3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" customHeight="1" x14ac:dyDescent="0.3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" customHeight="1" x14ac:dyDescent="0.3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5" x14ac:dyDescent="0.55000000000000004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5" x14ac:dyDescent="0.55000000000000004">
      <c r="B6" s="38" t="s">
        <v>3</v>
      </c>
      <c r="C6" s="38"/>
      <c r="D6" s="12" t="s">
        <v>31</v>
      </c>
      <c r="E6" s="7"/>
      <c r="F6" s="7"/>
      <c r="I6" s="7"/>
      <c r="J6" s="7"/>
    </row>
    <row r="7" spans="2:14" s="1" customFormat="1" x14ac:dyDescent="0.35">
      <c r="C7" s="7"/>
      <c r="D7" s="7"/>
      <c r="E7" s="7"/>
      <c r="F7" s="7"/>
      <c r="I7" s="7"/>
      <c r="J7" s="7"/>
    </row>
    <row r="10" spans="2:14" ht="28.5" x14ac:dyDescent="0.6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5">
        <v>40000</v>
      </c>
    </row>
    <row r="13" spans="2:14" ht="21" x14ac:dyDescent="0.5">
      <c r="B13" s="2" t="s">
        <v>14</v>
      </c>
      <c r="C13" s="14">
        <v>0.08</v>
      </c>
      <c r="D13" s="15">
        <f>$I$12*C13</f>
        <v>3200</v>
      </c>
      <c r="E13" s="16">
        <f>$I$13</f>
        <v>8</v>
      </c>
      <c r="F13" s="16">
        <f>D13*E13</f>
        <v>25600</v>
      </c>
      <c r="H13" s="5" t="s">
        <v>7</v>
      </c>
      <c r="I13" s="26">
        <v>8</v>
      </c>
    </row>
    <row r="14" spans="2:14" ht="21" x14ac:dyDescent="0.5">
      <c r="B14" s="2" t="s">
        <v>15</v>
      </c>
      <c r="C14" s="14">
        <v>0.06</v>
      </c>
      <c r="D14" s="15">
        <f t="shared" ref="D14:D24" si="0">$I$12*C14</f>
        <v>2400</v>
      </c>
      <c r="E14" s="16">
        <f t="shared" ref="E14:E24" si="1">$I$13</f>
        <v>8</v>
      </c>
      <c r="F14" s="16">
        <f t="shared" ref="F14:F24" si="2">D14*E14</f>
        <v>19200</v>
      </c>
    </row>
    <row r="15" spans="2:14" ht="21" x14ac:dyDescent="0.5">
      <c r="B15" s="2" t="s">
        <v>16</v>
      </c>
      <c r="C15" s="14">
        <v>0.08</v>
      </c>
      <c r="D15" s="15">
        <f t="shared" si="0"/>
        <v>3200</v>
      </c>
      <c r="E15" s="16">
        <f t="shared" si="1"/>
        <v>8</v>
      </c>
      <c r="F15" s="16">
        <f t="shared" si="2"/>
        <v>25600</v>
      </c>
      <c r="H15" s="4" t="s">
        <v>26</v>
      </c>
      <c r="I15" s="19">
        <f>SUM(F13:F24)</f>
        <v>320000</v>
      </c>
      <c r="J15" s="10"/>
    </row>
    <row r="16" spans="2:14" ht="21" x14ac:dyDescent="0.5">
      <c r="B16" s="2" t="s">
        <v>17</v>
      </c>
      <c r="C16" s="14">
        <v>0.09</v>
      </c>
      <c r="D16" s="15">
        <f t="shared" si="0"/>
        <v>3600</v>
      </c>
      <c r="E16" s="16">
        <f t="shared" si="1"/>
        <v>8</v>
      </c>
      <c r="F16" s="16">
        <f t="shared" si="2"/>
        <v>28800</v>
      </c>
      <c r="H16" s="4" t="s">
        <v>27</v>
      </c>
      <c r="I16" s="18">
        <v>120000</v>
      </c>
      <c r="J16" s="10"/>
    </row>
    <row r="17" spans="2:11" ht="21" x14ac:dyDescent="0.5">
      <c r="B17" s="2" t="s">
        <v>18</v>
      </c>
      <c r="C17" s="14">
        <v>0.09</v>
      </c>
      <c r="D17" s="15">
        <f t="shared" si="0"/>
        <v>3600</v>
      </c>
      <c r="E17" s="16">
        <f t="shared" si="1"/>
        <v>8</v>
      </c>
      <c r="F17" s="16">
        <f t="shared" si="2"/>
        <v>28800</v>
      </c>
      <c r="H17" s="4"/>
      <c r="I17"/>
      <c r="J17" s="10"/>
    </row>
    <row r="18" spans="2:11" ht="21" x14ac:dyDescent="0.5">
      <c r="B18" s="2" t="s">
        <v>19</v>
      </c>
      <c r="C18" s="14">
        <v>0.08</v>
      </c>
      <c r="D18" s="15">
        <f t="shared" si="0"/>
        <v>3200</v>
      </c>
      <c r="E18" s="16">
        <f t="shared" si="1"/>
        <v>8</v>
      </c>
      <c r="F18" s="16">
        <f t="shared" si="2"/>
        <v>25600</v>
      </c>
      <c r="H18" s="4" t="s">
        <v>8</v>
      </c>
      <c r="I18" s="20">
        <f>I15-I16</f>
        <v>200000</v>
      </c>
      <c r="J18" s="10"/>
    </row>
    <row r="19" spans="2:11" ht="21" x14ac:dyDescent="0.5">
      <c r="B19" s="2" t="s">
        <v>20</v>
      </c>
      <c r="C19" s="14">
        <v>0.08</v>
      </c>
      <c r="D19" s="15">
        <f t="shared" si="0"/>
        <v>3200</v>
      </c>
      <c r="E19" s="16">
        <f t="shared" si="1"/>
        <v>8</v>
      </c>
      <c r="F19" s="16">
        <f t="shared" si="2"/>
        <v>25600</v>
      </c>
      <c r="H19" s="4"/>
      <c r="I19" s="4"/>
      <c r="J19" s="4"/>
      <c r="K19" s="4"/>
    </row>
    <row r="20" spans="2:11" ht="21" x14ac:dyDescent="0.5">
      <c r="B20" s="2" t="s">
        <v>21</v>
      </c>
      <c r="C20" s="14">
        <v>0.09</v>
      </c>
      <c r="D20" s="15">
        <f t="shared" si="0"/>
        <v>3600</v>
      </c>
      <c r="E20" s="16">
        <f t="shared" si="1"/>
        <v>8</v>
      </c>
      <c r="F20" s="16">
        <f t="shared" si="2"/>
        <v>28800</v>
      </c>
      <c r="H20" s="4"/>
      <c r="I20" s="4"/>
      <c r="J20" s="4"/>
      <c r="K20" s="4"/>
    </row>
    <row r="21" spans="2:11" ht="21" x14ac:dyDescent="0.5">
      <c r="B21" s="2" t="s">
        <v>22</v>
      </c>
      <c r="C21" s="14">
        <v>0.08</v>
      </c>
      <c r="D21" s="15">
        <f t="shared" si="0"/>
        <v>3200</v>
      </c>
      <c r="E21" s="16">
        <f t="shared" si="1"/>
        <v>8</v>
      </c>
      <c r="F21" s="16">
        <f t="shared" si="2"/>
        <v>25600</v>
      </c>
      <c r="H21" s="4" t="s">
        <v>39</v>
      </c>
      <c r="I21" s="4"/>
      <c r="J21" s="4"/>
      <c r="K21" s="4"/>
    </row>
    <row r="22" spans="2:11" ht="21" x14ac:dyDescent="0.5">
      <c r="B22" s="2" t="s">
        <v>23</v>
      </c>
      <c r="C22" s="14">
        <v>0.08</v>
      </c>
      <c r="D22" s="15">
        <f t="shared" si="0"/>
        <v>3200</v>
      </c>
      <c r="E22" s="16">
        <f t="shared" si="1"/>
        <v>8</v>
      </c>
      <c r="F22" s="16">
        <f t="shared" si="2"/>
        <v>25600</v>
      </c>
      <c r="H22" s="4" t="s">
        <v>38</v>
      </c>
      <c r="I22" s="4"/>
      <c r="J22" s="4"/>
      <c r="K22" s="4"/>
    </row>
    <row r="23" spans="2:11" ht="21" x14ac:dyDescent="0.5">
      <c r="B23" s="2" t="s">
        <v>24</v>
      </c>
      <c r="C23" s="14">
        <v>0.1</v>
      </c>
      <c r="D23" s="15">
        <f t="shared" si="0"/>
        <v>4000</v>
      </c>
      <c r="E23" s="16">
        <f t="shared" si="1"/>
        <v>8</v>
      </c>
      <c r="F23" s="16">
        <f t="shared" si="2"/>
        <v>32000</v>
      </c>
      <c r="H23" s="4"/>
      <c r="I23" s="4"/>
      <c r="J23" s="4"/>
      <c r="K23" s="4"/>
    </row>
    <row r="24" spans="2:11" ht="21" x14ac:dyDescent="0.5">
      <c r="B24" s="2" t="s">
        <v>25</v>
      </c>
      <c r="C24" s="14">
        <v>0.09</v>
      </c>
      <c r="D24" s="15">
        <f t="shared" si="0"/>
        <v>3600</v>
      </c>
      <c r="E24" s="16">
        <f t="shared" si="1"/>
        <v>8</v>
      </c>
      <c r="F24" s="16">
        <f t="shared" si="2"/>
        <v>28800</v>
      </c>
      <c r="H24" s="4"/>
      <c r="I24" s="4"/>
      <c r="J24" s="4"/>
      <c r="K24" s="4"/>
    </row>
    <row r="25" spans="2:11" ht="21" x14ac:dyDescent="0.5">
      <c r="B25" s="3"/>
      <c r="C25" s="30">
        <f>SUM(C13:C24)</f>
        <v>0.99999999999999989</v>
      </c>
      <c r="D25" s="31">
        <f>SUM(D13:D24)</f>
        <v>40000</v>
      </c>
      <c r="E25" s="17"/>
      <c r="F25" s="32">
        <f>SUM(F13:F24)</f>
        <v>320000</v>
      </c>
      <c r="H25" s="4"/>
      <c r="I25" s="4"/>
      <c r="J25" s="4"/>
      <c r="K25" s="4"/>
    </row>
    <row r="26" spans="2:11" ht="21" x14ac:dyDescent="0.5">
      <c r="H26" s="4"/>
      <c r="I26" s="4"/>
      <c r="J26" s="4"/>
      <c r="K26" s="4"/>
    </row>
    <row r="27" spans="2:11" ht="21" x14ac:dyDescent="0.5">
      <c r="H27" s="4"/>
      <c r="I27" s="4"/>
      <c r="J27" s="4"/>
      <c r="K27" s="4"/>
    </row>
    <row r="28" spans="2:11" ht="21" x14ac:dyDescent="0.5">
      <c r="H28" s="4"/>
      <c r="I28" s="4"/>
      <c r="J28" s="4"/>
      <c r="K28" s="4"/>
    </row>
    <row r="29" spans="2:11" ht="21" x14ac:dyDescent="0.5">
      <c r="H29" s="4"/>
      <c r="I29" s="4"/>
      <c r="J29" s="4"/>
      <c r="K29" s="4"/>
    </row>
  </sheetData>
  <mergeCells count="4">
    <mergeCell ref="B2:N4"/>
    <mergeCell ref="B5:C5"/>
    <mergeCell ref="B6:C6"/>
    <mergeCell ref="B10:I10"/>
  </mergeCells>
  <conditionalFormatting sqref="I18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2E77-9B0B-4A39-833B-E3B956D0FD2C}">
  <dimension ref="B1:N33"/>
  <sheetViews>
    <sheetView showGridLines="0" topLeftCell="A10" workbookViewId="0">
      <selection activeCell="B12" sqref="B12:F25"/>
    </sheetView>
  </sheetViews>
  <sheetFormatPr defaultRowHeight="14.5" x14ac:dyDescent="0.35"/>
  <cols>
    <col min="2" max="2" width="15.81640625" customWidth="1"/>
    <col min="3" max="3" width="16.6328125" style="9" customWidth="1"/>
    <col min="4" max="4" width="17" style="9" customWidth="1"/>
    <col min="5" max="5" width="18.1796875" style="9" bestFit="1" customWidth="1"/>
    <col min="6" max="6" width="20.81640625" style="9" customWidth="1"/>
    <col min="8" max="8" width="29.54296875" customWidth="1"/>
    <col min="9" max="9" width="21.90625" style="9" customWidth="1"/>
    <col min="10" max="10" width="8.81640625" style="9"/>
  </cols>
  <sheetData>
    <row r="1" spans="2:14" s="1" customFormat="1" x14ac:dyDescent="0.35">
      <c r="C1" s="7"/>
      <c r="D1" s="7"/>
      <c r="E1" s="7"/>
      <c r="F1" s="7"/>
      <c r="I1" s="7"/>
      <c r="J1" s="7"/>
    </row>
    <row r="2" spans="2:14" s="1" customFormat="1" ht="15.65" customHeight="1" x14ac:dyDescent="0.3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" customHeight="1" x14ac:dyDescent="0.3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" customHeight="1" x14ac:dyDescent="0.3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5" x14ac:dyDescent="0.55000000000000004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5" x14ac:dyDescent="0.55000000000000004">
      <c r="B6" s="38" t="s">
        <v>3</v>
      </c>
      <c r="C6" s="38"/>
      <c r="D6" s="21" t="s">
        <v>32</v>
      </c>
      <c r="E6" s="7"/>
      <c r="F6" s="7"/>
      <c r="I6" s="7"/>
      <c r="J6" s="7"/>
    </row>
    <row r="7" spans="2:14" s="1" customFormat="1" x14ac:dyDescent="0.35">
      <c r="C7" s="7"/>
      <c r="D7" s="7"/>
      <c r="E7" s="7"/>
      <c r="F7" s="7"/>
      <c r="I7" s="7"/>
      <c r="J7" s="7"/>
    </row>
    <row r="10" spans="2:14" ht="28.5" x14ac:dyDescent="0.6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41">
        <v>40000</v>
      </c>
    </row>
    <row r="13" spans="2:14" ht="21" x14ac:dyDescent="0.5">
      <c r="B13" s="2" t="s">
        <v>14</v>
      </c>
      <c r="C13" s="14">
        <v>0.08</v>
      </c>
      <c r="D13" s="15">
        <f>$I$12*C13</f>
        <v>3200</v>
      </c>
      <c r="E13" s="16">
        <f>$I$13</f>
        <v>0</v>
      </c>
      <c r="F13" s="16">
        <f>D13*E13</f>
        <v>0</v>
      </c>
      <c r="H13" s="5" t="s">
        <v>7</v>
      </c>
      <c r="I13" s="8"/>
    </row>
    <row r="14" spans="2:14" ht="21" x14ac:dyDescent="0.5">
      <c r="B14" s="2" t="s">
        <v>15</v>
      </c>
      <c r="C14" s="14">
        <v>0.06</v>
      </c>
      <c r="D14" s="15">
        <f t="shared" ref="D14:D24" si="0">$I$12*C14</f>
        <v>2400</v>
      </c>
      <c r="E14" s="16">
        <f t="shared" ref="E14:E24" si="1">$I$13</f>
        <v>0</v>
      </c>
      <c r="F14" s="16">
        <f t="shared" ref="F14:F24" si="2">D14*E14</f>
        <v>0</v>
      </c>
    </row>
    <row r="15" spans="2:14" ht="21" x14ac:dyDescent="0.5">
      <c r="B15" s="2" t="s">
        <v>16</v>
      </c>
      <c r="C15" s="14">
        <v>0.08</v>
      </c>
      <c r="D15" s="15">
        <f t="shared" si="0"/>
        <v>3200</v>
      </c>
      <c r="E15" s="16">
        <f t="shared" si="1"/>
        <v>0</v>
      </c>
      <c r="F15" s="16">
        <f t="shared" si="2"/>
        <v>0</v>
      </c>
      <c r="H15" s="4" t="s">
        <v>26</v>
      </c>
      <c r="I15" s="19">
        <f>SUM(F13:F24)</f>
        <v>0</v>
      </c>
      <c r="J15" s="10"/>
    </row>
    <row r="16" spans="2:14" ht="21" x14ac:dyDescent="0.5">
      <c r="B16" s="2" t="s">
        <v>17</v>
      </c>
      <c r="C16" s="14">
        <v>0.09</v>
      </c>
      <c r="D16" s="15">
        <f t="shared" si="0"/>
        <v>3600</v>
      </c>
      <c r="E16" s="16">
        <f t="shared" si="1"/>
        <v>0</v>
      </c>
      <c r="F16" s="16">
        <f t="shared" si="2"/>
        <v>0</v>
      </c>
      <c r="H16" s="4" t="s">
        <v>27</v>
      </c>
      <c r="I16" s="18">
        <v>120000</v>
      </c>
      <c r="J16" s="10"/>
    </row>
    <row r="17" spans="2:11" ht="21" x14ac:dyDescent="0.5">
      <c r="B17" s="2" t="s">
        <v>18</v>
      </c>
      <c r="C17" s="14">
        <v>0.09</v>
      </c>
      <c r="D17" s="15">
        <f t="shared" si="0"/>
        <v>3600</v>
      </c>
      <c r="E17" s="16">
        <f t="shared" si="1"/>
        <v>0</v>
      </c>
      <c r="F17" s="16">
        <f t="shared" si="2"/>
        <v>0</v>
      </c>
      <c r="H17" s="4"/>
      <c r="I17" s="10"/>
      <c r="J17" s="10"/>
    </row>
    <row r="18" spans="2:11" ht="21" x14ac:dyDescent="0.5">
      <c r="B18" s="2" t="s">
        <v>19</v>
      </c>
      <c r="C18" s="14">
        <v>0.08</v>
      </c>
      <c r="D18" s="15">
        <f t="shared" si="0"/>
        <v>3200</v>
      </c>
      <c r="E18" s="16">
        <f t="shared" si="1"/>
        <v>0</v>
      </c>
      <c r="F18" s="16">
        <f t="shared" si="2"/>
        <v>0</v>
      </c>
      <c r="H18" s="4" t="s">
        <v>8</v>
      </c>
      <c r="I18" s="20">
        <f>I15-I16</f>
        <v>-120000</v>
      </c>
      <c r="J18" s="10"/>
    </row>
    <row r="19" spans="2:11" ht="21" x14ac:dyDescent="0.5">
      <c r="B19" s="2" t="s">
        <v>20</v>
      </c>
      <c r="C19" s="14">
        <v>0.08</v>
      </c>
      <c r="D19" s="15">
        <f t="shared" si="0"/>
        <v>3200</v>
      </c>
      <c r="E19" s="16">
        <f t="shared" si="1"/>
        <v>0</v>
      </c>
      <c r="F19" s="16">
        <f t="shared" si="2"/>
        <v>0</v>
      </c>
    </row>
    <row r="20" spans="2:11" ht="21" x14ac:dyDescent="0.5">
      <c r="B20" s="2" t="s">
        <v>21</v>
      </c>
      <c r="C20" s="14">
        <v>0.09</v>
      </c>
      <c r="D20" s="15">
        <f t="shared" si="0"/>
        <v>3600</v>
      </c>
      <c r="E20" s="16">
        <f t="shared" si="1"/>
        <v>0</v>
      </c>
      <c r="F20" s="16">
        <f t="shared" si="2"/>
        <v>0</v>
      </c>
      <c r="H20" s="4" t="s">
        <v>40</v>
      </c>
      <c r="I20" s="4"/>
      <c r="J20" s="4"/>
      <c r="K20" s="4"/>
    </row>
    <row r="21" spans="2:11" ht="21" x14ac:dyDescent="0.5">
      <c r="B21" s="2" t="s">
        <v>22</v>
      </c>
      <c r="C21" s="14">
        <v>0.08</v>
      </c>
      <c r="D21" s="15">
        <f t="shared" si="0"/>
        <v>3200</v>
      </c>
      <c r="E21" s="16">
        <f t="shared" si="1"/>
        <v>0</v>
      </c>
      <c r="F21" s="16">
        <f t="shared" si="2"/>
        <v>0</v>
      </c>
      <c r="H21" s="33" t="s">
        <v>7</v>
      </c>
      <c r="I21" s="29" t="s">
        <v>8</v>
      </c>
      <c r="J21" s="4"/>
      <c r="K21" s="4"/>
    </row>
    <row r="22" spans="2:11" ht="21" x14ac:dyDescent="0.5">
      <c r="B22" s="2" t="s">
        <v>23</v>
      </c>
      <c r="C22" s="14">
        <v>0.08</v>
      </c>
      <c r="D22" s="15">
        <f t="shared" si="0"/>
        <v>3200</v>
      </c>
      <c r="E22" s="16">
        <f t="shared" si="1"/>
        <v>0</v>
      </c>
      <c r="F22" s="16">
        <f t="shared" si="2"/>
        <v>0</v>
      </c>
      <c r="H22" s="6" t="s">
        <v>42</v>
      </c>
      <c r="I22" s="22">
        <f>I15-I16</f>
        <v>-120000</v>
      </c>
      <c r="J22" s="4"/>
      <c r="K22" s="4"/>
    </row>
    <row r="23" spans="2:11" ht="21" x14ac:dyDescent="0.5">
      <c r="B23" s="2" t="s">
        <v>24</v>
      </c>
      <c r="C23" s="14">
        <v>0.1</v>
      </c>
      <c r="D23" s="15">
        <f t="shared" si="0"/>
        <v>4000</v>
      </c>
      <c r="E23" s="16">
        <f t="shared" si="1"/>
        <v>0</v>
      </c>
      <c r="F23" s="16">
        <f t="shared" si="2"/>
        <v>0</v>
      </c>
      <c r="H23" s="6">
        <v>2</v>
      </c>
      <c r="I23" s="6">
        <f t="dataTable" ref="I23:I33" dt2D="0" dtr="0" r1="I13"/>
        <v>-40000</v>
      </c>
      <c r="J23" s="4"/>
      <c r="K23" s="4"/>
    </row>
    <row r="24" spans="2:11" ht="21" x14ac:dyDescent="0.5">
      <c r="B24" s="2" t="s">
        <v>25</v>
      </c>
      <c r="C24" s="14">
        <v>0.09</v>
      </c>
      <c r="D24" s="15">
        <f t="shared" si="0"/>
        <v>3600</v>
      </c>
      <c r="E24" s="16">
        <f t="shared" si="1"/>
        <v>0</v>
      </c>
      <c r="F24" s="16">
        <f t="shared" si="2"/>
        <v>0</v>
      </c>
      <c r="H24" s="6">
        <v>3</v>
      </c>
      <c r="I24" s="6">
        <v>0</v>
      </c>
      <c r="J24" s="4"/>
      <c r="K24" s="4"/>
    </row>
    <row r="25" spans="2:11" ht="21" x14ac:dyDescent="0.5">
      <c r="B25" s="3"/>
      <c r="C25" s="30">
        <f>SUM(C13:C24)</f>
        <v>0.99999999999999989</v>
      </c>
      <c r="D25" s="31">
        <f>SUM(D13:D24)</f>
        <v>40000</v>
      </c>
      <c r="E25" s="17"/>
      <c r="F25" s="32">
        <f>SUM(F13:F24)</f>
        <v>0</v>
      </c>
      <c r="H25" s="6">
        <v>4</v>
      </c>
      <c r="I25" s="6">
        <v>40000</v>
      </c>
      <c r="J25" s="4"/>
      <c r="K25" s="4"/>
    </row>
    <row r="26" spans="2:11" ht="21" x14ac:dyDescent="0.5">
      <c r="H26" s="6">
        <v>5</v>
      </c>
      <c r="I26" s="6">
        <v>80000</v>
      </c>
      <c r="J26" s="4"/>
      <c r="K26" s="4"/>
    </row>
    <row r="27" spans="2:11" ht="21" x14ac:dyDescent="0.5">
      <c r="H27" s="6">
        <v>6</v>
      </c>
      <c r="I27" s="6">
        <v>120000</v>
      </c>
      <c r="J27" s="4"/>
      <c r="K27" s="4"/>
    </row>
    <row r="28" spans="2:11" ht="21" x14ac:dyDescent="0.5">
      <c r="H28" s="6">
        <v>7</v>
      </c>
      <c r="I28" s="6">
        <v>160000</v>
      </c>
      <c r="J28" s="4"/>
      <c r="K28" s="4"/>
    </row>
    <row r="29" spans="2:11" ht="21" x14ac:dyDescent="0.5">
      <c r="H29" s="6">
        <v>8</v>
      </c>
      <c r="I29" s="6">
        <v>200000</v>
      </c>
      <c r="J29" s="4"/>
      <c r="K29" s="4"/>
    </row>
    <row r="30" spans="2:11" ht="21" x14ac:dyDescent="0.5">
      <c r="H30" s="6">
        <v>9</v>
      </c>
      <c r="I30" s="6">
        <v>240000</v>
      </c>
      <c r="J30" s="4"/>
      <c r="K30" s="4"/>
    </row>
    <row r="31" spans="2:11" ht="21" x14ac:dyDescent="0.5">
      <c r="H31" s="6">
        <v>10</v>
      </c>
      <c r="I31" s="6">
        <v>280000</v>
      </c>
    </row>
    <row r="32" spans="2:11" ht="21" x14ac:dyDescent="0.5">
      <c r="H32" s="6">
        <v>11</v>
      </c>
      <c r="I32" s="6">
        <v>320000</v>
      </c>
    </row>
    <row r="33" spans="8:9" ht="21" x14ac:dyDescent="0.5">
      <c r="H33" s="6">
        <v>12</v>
      </c>
      <c r="I33" s="6">
        <v>360000</v>
      </c>
    </row>
  </sheetData>
  <mergeCells count="4">
    <mergeCell ref="B2:N4"/>
    <mergeCell ref="B5:C5"/>
    <mergeCell ref="B6:C6"/>
    <mergeCell ref="B10:I10"/>
  </mergeCells>
  <conditionalFormatting sqref="I1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EA16-FE27-4C77-8E0C-476EC8267A9E}">
  <dimension ref="B1:O32"/>
  <sheetViews>
    <sheetView showGridLines="0" tabSelected="1" topLeftCell="A10" workbookViewId="0">
      <selection activeCell="I22" sqref="I22"/>
    </sheetView>
  </sheetViews>
  <sheetFormatPr defaultRowHeight="14.5" x14ac:dyDescent="0.35"/>
  <cols>
    <col min="2" max="2" width="15.81640625" customWidth="1"/>
    <col min="3" max="3" width="16.6328125" style="9" customWidth="1"/>
    <col min="4" max="4" width="17" style="9" customWidth="1"/>
    <col min="5" max="5" width="18.1796875" style="9" bestFit="1" customWidth="1"/>
    <col min="6" max="6" width="20.81640625" style="9" customWidth="1"/>
    <col min="8" max="8" width="29.54296875" customWidth="1"/>
    <col min="9" max="9" width="21.54296875" style="9" customWidth="1"/>
    <col min="10" max="10" width="14.81640625" style="9" customWidth="1"/>
    <col min="11" max="11" width="14.54296875" customWidth="1"/>
    <col min="12" max="15" width="15.6328125" customWidth="1"/>
  </cols>
  <sheetData>
    <row r="1" spans="2:13" s="1" customFormat="1" x14ac:dyDescent="0.35">
      <c r="C1" s="7"/>
      <c r="D1" s="7"/>
      <c r="E1" s="7"/>
      <c r="F1" s="7"/>
      <c r="I1" s="7"/>
      <c r="J1" s="7"/>
    </row>
    <row r="2" spans="2:13" s="1" customFormat="1" ht="15.65" customHeight="1" x14ac:dyDescent="0.3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13" s="1" customFormat="1" ht="14.4" customHeight="1" x14ac:dyDescent="0.3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2:13" s="1" customFormat="1" ht="14.4" customHeight="1" x14ac:dyDescent="0.3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2:13" s="1" customFormat="1" ht="23.5" x14ac:dyDescent="0.55000000000000004">
      <c r="B5" s="38" t="s">
        <v>1</v>
      </c>
      <c r="C5" s="38"/>
      <c r="D5" s="12" t="s">
        <v>2</v>
      </c>
      <c r="E5" s="7"/>
      <c r="F5" s="7"/>
      <c r="I5" s="7"/>
      <c r="J5" s="7"/>
    </row>
    <row r="6" spans="2:13" s="1" customFormat="1" ht="23.5" x14ac:dyDescent="0.55000000000000004">
      <c r="B6" s="38" t="s">
        <v>3</v>
      </c>
      <c r="C6" s="38"/>
      <c r="D6" s="21" t="s">
        <v>32</v>
      </c>
      <c r="E6" s="7"/>
      <c r="F6" s="7"/>
      <c r="I6" s="7"/>
      <c r="J6" s="7"/>
    </row>
    <row r="7" spans="2:13" s="1" customFormat="1" x14ac:dyDescent="0.35">
      <c r="C7" s="7"/>
      <c r="D7" s="7"/>
      <c r="E7" s="7"/>
      <c r="F7" s="7"/>
      <c r="I7" s="7"/>
      <c r="J7" s="7"/>
    </row>
    <row r="10" spans="2:13" ht="28.5" x14ac:dyDescent="0.6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3" ht="21" x14ac:dyDescent="0.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50000</v>
      </c>
    </row>
    <row r="13" spans="2:13" ht="21" x14ac:dyDescent="0.5">
      <c r="B13" s="2" t="s">
        <v>14</v>
      </c>
      <c r="C13" s="14">
        <v>0.08</v>
      </c>
      <c r="D13" s="15">
        <f>$I$12*C13</f>
        <v>4000</v>
      </c>
      <c r="E13" s="16">
        <f>$I$13</f>
        <v>6</v>
      </c>
      <c r="F13" s="16">
        <f>D13*E13</f>
        <v>24000</v>
      </c>
      <c r="H13" s="5" t="s">
        <v>7</v>
      </c>
      <c r="I13" s="8">
        <v>6</v>
      </c>
    </row>
    <row r="14" spans="2:13" ht="21" x14ac:dyDescent="0.5">
      <c r="B14" s="2" t="s">
        <v>15</v>
      </c>
      <c r="C14" s="14">
        <v>0.06</v>
      </c>
      <c r="D14" s="15">
        <f t="shared" ref="D14:D24" si="0">$I$12*C14</f>
        <v>3000</v>
      </c>
      <c r="E14" s="16">
        <f t="shared" ref="E14:E24" si="1">$I$13</f>
        <v>6</v>
      </c>
      <c r="F14" s="16">
        <f t="shared" ref="F14:F24" si="2">D14*E14</f>
        <v>18000</v>
      </c>
    </row>
    <row r="15" spans="2:13" ht="21" x14ac:dyDescent="0.5">
      <c r="B15" s="2" t="s">
        <v>16</v>
      </c>
      <c r="C15" s="14">
        <v>0.08</v>
      </c>
      <c r="D15" s="15">
        <f t="shared" si="0"/>
        <v>4000</v>
      </c>
      <c r="E15" s="16">
        <f t="shared" si="1"/>
        <v>6</v>
      </c>
      <c r="F15" s="16">
        <f t="shared" si="2"/>
        <v>24000</v>
      </c>
      <c r="H15" s="4" t="s">
        <v>26</v>
      </c>
      <c r="I15" s="19">
        <f>SUM(F13:F24)</f>
        <v>300000</v>
      </c>
      <c r="J15" s="10"/>
    </row>
    <row r="16" spans="2:13" ht="21" x14ac:dyDescent="0.5">
      <c r="B16" s="2" t="s">
        <v>17</v>
      </c>
      <c r="C16" s="14">
        <v>0.09</v>
      </c>
      <c r="D16" s="15">
        <f t="shared" si="0"/>
        <v>4500</v>
      </c>
      <c r="E16" s="16">
        <f t="shared" si="1"/>
        <v>6</v>
      </c>
      <c r="F16" s="16">
        <f t="shared" si="2"/>
        <v>27000</v>
      </c>
      <c r="H16" s="4" t="s">
        <v>27</v>
      </c>
      <c r="I16" s="18">
        <v>120000</v>
      </c>
      <c r="J16" s="10"/>
    </row>
    <row r="17" spans="2:15" ht="21" x14ac:dyDescent="0.5">
      <c r="B17" s="2" t="s">
        <v>18</v>
      </c>
      <c r="C17" s="14">
        <v>0.09</v>
      </c>
      <c r="D17" s="15">
        <f t="shared" si="0"/>
        <v>4500</v>
      </c>
      <c r="E17" s="16">
        <f t="shared" si="1"/>
        <v>6</v>
      </c>
      <c r="F17" s="16">
        <f t="shared" si="2"/>
        <v>27000</v>
      </c>
      <c r="H17" s="4"/>
      <c r="I17" s="10"/>
      <c r="J17" s="10"/>
    </row>
    <row r="18" spans="2:15" ht="21" x14ac:dyDescent="0.5">
      <c r="B18" s="2" t="s">
        <v>19</v>
      </c>
      <c r="C18" s="14">
        <v>0.08</v>
      </c>
      <c r="D18" s="15">
        <f t="shared" si="0"/>
        <v>4000</v>
      </c>
      <c r="E18" s="16">
        <f t="shared" si="1"/>
        <v>6</v>
      </c>
      <c r="F18" s="16">
        <f t="shared" si="2"/>
        <v>24000</v>
      </c>
      <c r="H18" s="4" t="s">
        <v>8</v>
      </c>
      <c r="I18" s="20">
        <f>I15-I16</f>
        <v>180000</v>
      </c>
      <c r="J18" s="10"/>
    </row>
    <row r="19" spans="2:15" ht="21" x14ac:dyDescent="0.5">
      <c r="B19" s="2" t="s">
        <v>20</v>
      </c>
      <c r="C19" s="14">
        <v>0.08</v>
      </c>
      <c r="D19" s="15">
        <f t="shared" si="0"/>
        <v>4000</v>
      </c>
      <c r="E19" s="16">
        <f t="shared" si="1"/>
        <v>6</v>
      </c>
      <c r="F19" s="16">
        <f t="shared" si="2"/>
        <v>24000</v>
      </c>
      <c r="H19" s="4" t="s">
        <v>41</v>
      </c>
      <c r="I19" s="4"/>
      <c r="J19" s="4"/>
      <c r="K19" s="4"/>
    </row>
    <row r="20" spans="2:15" ht="21" x14ac:dyDescent="0.5">
      <c r="B20" s="2" t="s">
        <v>21</v>
      </c>
      <c r="C20" s="14">
        <v>0.09</v>
      </c>
      <c r="D20" s="15">
        <f t="shared" si="0"/>
        <v>4500</v>
      </c>
      <c r="E20" s="16">
        <f t="shared" si="1"/>
        <v>6</v>
      </c>
      <c r="F20" s="16">
        <f t="shared" si="2"/>
        <v>27000</v>
      </c>
      <c r="I20" s="40" t="s">
        <v>34</v>
      </c>
      <c r="J20" s="40"/>
      <c r="K20" s="40"/>
      <c r="L20" s="40"/>
    </row>
    <row r="21" spans="2:15" ht="21" x14ac:dyDescent="0.5">
      <c r="B21" s="2" t="s">
        <v>22</v>
      </c>
      <c r="C21" s="14">
        <v>0.08</v>
      </c>
      <c r="D21" s="15">
        <f t="shared" si="0"/>
        <v>4000</v>
      </c>
      <c r="E21" s="16">
        <f t="shared" si="1"/>
        <v>6</v>
      </c>
      <c r="F21" s="16">
        <f t="shared" si="2"/>
        <v>24000</v>
      </c>
      <c r="H21" s="34">
        <f>I15-I16</f>
        <v>180000</v>
      </c>
      <c r="I21" s="35">
        <v>20000</v>
      </c>
      <c r="J21" s="35">
        <f>I21+10000</f>
        <v>30000</v>
      </c>
      <c r="K21" s="35">
        <f t="shared" ref="K21:O21" si="3">J21+10000</f>
        <v>40000</v>
      </c>
      <c r="L21" s="35">
        <f t="shared" si="3"/>
        <v>50000</v>
      </c>
      <c r="M21" s="35">
        <f t="shared" si="3"/>
        <v>60000</v>
      </c>
      <c r="N21" s="35">
        <f t="shared" si="3"/>
        <v>70000</v>
      </c>
      <c r="O21" s="35">
        <f t="shared" si="3"/>
        <v>80000</v>
      </c>
    </row>
    <row r="22" spans="2:15" ht="21" x14ac:dyDescent="0.5">
      <c r="B22" s="2" t="s">
        <v>23</v>
      </c>
      <c r="C22" s="14">
        <v>0.08</v>
      </c>
      <c r="D22" s="15">
        <f t="shared" si="0"/>
        <v>4000</v>
      </c>
      <c r="E22" s="16">
        <f t="shared" si="1"/>
        <v>6</v>
      </c>
      <c r="F22" s="16">
        <f t="shared" si="2"/>
        <v>24000</v>
      </c>
      <c r="H22" s="6">
        <v>2</v>
      </c>
      <c r="I22" s="36">
        <f t="dataTable" ref="I22:O32" dt2D="1" dtr="1" r1="I12" r2="I13"/>
        <v>-80000</v>
      </c>
      <c r="J22" s="36">
        <v>-60000</v>
      </c>
      <c r="K22" s="36">
        <v>-40000</v>
      </c>
      <c r="L22" s="36">
        <v>-20000</v>
      </c>
      <c r="M22" s="36">
        <v>0</v>
      </c>
      <c r="N22" s="36">
        <v>20000</v>
      </c>
      <c r="O22" s="36">
        <v>40000</v>
      </c>
    </row>
    <row r="23" spans="2:15" ht="21" x14ac:dyDescent="0.5">
      <c r="B23" s="2" t="s">
        <v>24</v>
      </c>
      <c r="C23" s="14">
        <v>0.1</v>
      </c>
      <c r="D23" s="15">
        <f t="shared" si="0"/>
        <v>5000</v>
      </c>
      <c r="E23" s="16">
        <f t="shared" si="1"/>
        <v>6</v>
      </c>
      <c r="F23" s="16">
        <f t="shared" si="2"/>
        <v>30000</v>
      </c>
      <c r="H23" s="6">
        <f>H22+1</f>
        <v>3</v>
      </c>
      <c r="I23" s="36">
        <v>-60000</v>
      </c>
      <c r="J23" s="36">
        <v>-30000</v>
      </c>
      <c r="K23" s="36">
        <v>0</v>
      </c>
      <c r="L23" s="36">
        <v>30000</v>
      </c>
      <c r="M23" s="36">
        <v>60000</v>
      </c>
      <c r="N23" s="36">
        <v>90000</v>
      </c>
      <c r="O23" s="36">
        <v>120000</v>
      </c>
    </row>
    <row r="24" spans="2:15" ht="21" x14ac:dyDescent="0.5">
      <c r="B24" s="2" t="s">
        <v>25</v>
      </c>
      <c r="C24" s="14">
        <v>0.09</v>
      </c>
      <c r="D24" s="15">
        <f t="shared" si="0"/>
        <v>4500</v>
      </c>
      <c r="E24" s="16">
        <f t="shared" si="1"/>
        <v>6</v>
      </c>
      <c r="F24" s="16">
        <f t="shared" si="2"/>
        <v>27000</v>
      </c>
      <c r="H24" s="6">
        <f t="shared" ref="H24:H32" si="4">H23+1</f>
        <v>4</v>
      </c>
      <c r="I24" s="36">
        <v>-40000</v>
      </c>
      <c r="J24" s="36">
        <v>0</v>
      </c>
      <c r="K24" s="36">
        <v>40000</v>
      </c>
      <c r="L24" s="36">
        <v>80000</v>
      </c>
      <c r="M24" s="36">
        <v>120000</v>
      </c>
      <c r="N24" s="36">
        <v>160000</v>
      </c>
      <c r="O24" s="36">
        <v>200000</v>
      </c>
    </row>
    <row r="25" spans="2:15" ht="21" x14ac:dyDescent="0.5">
      <c r="B25" s="3"/>
      <c r="C25" s="30">
        <f>SUM(C13:C24)</f>
        <v>0.99999999999999989</v>
      </c>
      <c r="D25" s="31">
        <f>SUM(D13:D24)</f>
        <v>50000</v>
      </c>
      <c r="E25" s="17"/>
      <c r="F25" s="32">
        <f>SUM(F13:F24)</f>
        <v>300000</v>
      </c>
      <c r="H25" s="6">
        <f t="shared" si="4"/>
        <v>5</v>
      </c>
      <c r="I25" s="36">
        <v>-20000</v>
      </c>
      <c r="J25" s="36">
        <v>30000</v>
      </c>
      <c r="K25" s="36">
        <v>80000</v>
      </c>
      <c r="L25" s="36">
        <v>130000</v>
      </c>
      <c r="M25" s="36">
        <v>180000</v>
      </c>
      <c r="N25" s="36">
        <v>230000</v>
      </c>
      <c r="O25" s="36">
        <v>280000</v>
      </c>
    </row>
    <row r="26" spans="2:15" ht="21" x14ac:dyDescent="0.5">
      <c r="H26" s="6">
        <f t="shared" si="4"/>
        <v>6</v>
      </c>
      <c r="I26" s="36">
        <v>0</v>
      </c>
      <c r="J26" s="36">
        <v>60000</v>
      </c>
      <c r="K26" s="36">
        <v>120000</v>
      </c>
      <c r="L26" s="36">
        <v>180000</v>
      </c>
      <c r="M26" s="36">
        <v>240000</v>
      </c>
      <c r="N26" s="36">
        <v>300000</v>
      </c>
      <c r="O26" s="36">
        <v>360000</v>
      </c>
    </row>
    <row r="27" spans="2:15" ht="21" x14ac:dyDescent="0.5">
      <c r="H27" s="6">
        <f t="shared" si="4"/>
        <v>7</v>
      </c>
      <c r="I27" s="36">
        <v>20000</v>
      </c>
      <c r="J27" s="36">
        <v>90000</v>
      </c>
      <c r="K27" s="36">
        <v>160000</v>
      </c>
      <c r="L27" s="36">
        <v>230000</v>
      </c>
      <c r="M27" s="36">
        <v>300000</v>
      </c>
      <c r="N27" s="36">
        <v>370000</v>
      </c>
      <c r="O27" s="36">
        <v>440000</v>
      </c>
    </row>
    <row r="28" spans="2:15" ht="21" x14ac:dyDescent="0.5">
      <c r="H28" s="6">
        <f t="shared" si="4"/>
        <v>8</v>
      </c>
      <c r="I28" s="36">
        <v>40000</v>
      </c>
      <c r="J28" s="36">
        <v>120000</v>
      </c>
      <c r="K28" s="36">
        <v>200000</v>
      </c>
      <c r="L28" s="36">
        <v>280000</v>
      </c>
      <c r="M28" s="36">
        <v>360000</v>
      </c>
      <c r="N28" s="36">
        <v>440000</v>
      </c>
      <c r="O28" s="36">
        <v>520000</v>
      </c>
    </row>
    <row r="29" spans="2:15" ht="21" x14ac:dyDescent="0.5">
      <c r="H29" s="6">
        <f t="shared" si="4"/>
        <v>9</v>
      </c>
      <c r="I29" s="36">
        <v>60000</v>
      </c>
      <c r="J29" s="36">
        <v>150000</v>
      </c>
      <c r="K29" s="36">
        <v>240000</v>
      </c>
      <c r="L29" s="36">
        <v>330000</v>
      </c>
      <c r="M29" s="36">
        <v>420000</v>
      </c>
      <c r="N29" s="36">
        <v>510000</v>
      </c>
      <c r="O29" s="36">
        <v>600000</v>
      </c>
    </row>
    <row r="30" spans="2:15" ht="21" x14ac:dyDescent="0.5">
      <c r="H30" s="6">
        <f t="shared" si="4"/>
        <v>10</v>
      </c>
      <c r="I30" s="36">
        <v>80000</v>
      </c>
      <c r="J30" s="36">
        <v>180000</v>
      </c>
      <c r="K30" s="36">
        <v>280000</v>
      </c>
      <c r="L30" s="36">
        <v>380000</v>
      </c>
      <c r="M30" s="36">
        <v>480000</v>
      </c>
      <c r="N30" s="36">
        <v>580000</v>
      </c>
      <c r="O30" s="36">
        <v>680000</v>
      </c>
    </row>
    <row r="31" spans="2:15" ht="21" x14ac:dyDescent="0.5">
      <c r="H31" s="6">
        <f t="shared" si="4"/>
        <v>11</v>
      </c>
      <c r="I31" s="36">
        <v>100000</v>
      </c>
      <c r="J31" s="36">
        <v>210000</v>
      </c>
      <c r="K31" s="36">
        <v>320000</v>
      </c>
      <c r="L31" s="36">
        <v>430000</v>
      </c>
      <c r="M31" s="36">
        <v>540000</v>
      </c>
      <c r="N31" s="36">
        <v>650000</v>
      </c>
      <c r="O31" s="36">
        <v>760000</v>
      </c>
    </row>
    <row r="32" spans="2:15" ht="21" x14ac:dyDescent="0.5">
      <c r="H32" s="6">
        <f t="shared" si="4"/>
        <v>12</v>
      </c>
      <c r="I32" s="36">
        <v>120000</v>
      </c>
      <c r="J32" s="36">
        <v>240000</v>
      </c>
      <c r="K32" s="36">
        <v>360000</v>
      </c>
      <c r="L32" s="36">
        <v>480000</v>
      </c>
      <c r="M32" s="36">
        <v>600000</v>
      </c>
      <c r="N32" s="36">
        <v>720000</v>
      </c>
      <c r="O32" s="36">
        <v>840000</v>
      </c>
    </row>
  </sheetData>
  <mergeCells count="5">
    <mergeCell ref="B2:M4"/>
    <mergeCell ref="B5:C5"/>
    <mergeCell ref="B6:C6"/>
    <mergeCell ref="B10:I10"/>
    <mergeCell ref="I20:L20"/>
  </mergeCells>
  <conditionalFormatting sqref="I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Gerenciador de Cenários</vt:lpstr>
      <vt:lpstr>Atingir Meta Exemplo 1</vt:lpstr>
      <vt:lpstr>Atingir Meta Exemplo 2</vt:lpstr>
      <vt:lpstr>Tabela de Dados exemplo 1</vt:lpstr>
      <vt:lpstr>Tabela de Dados exemplo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2023-02-15T16:08:28Z</dcterms:created>
  <dcterms:modified xsi:type="dcterms:W3CDTF">2026-07-02T22:58:27Z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2026-07-02T22:21:10Z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b7d54618-692c-407f-9e9a-935c873a9b4e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
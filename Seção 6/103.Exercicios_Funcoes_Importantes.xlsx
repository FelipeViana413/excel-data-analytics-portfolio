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136" documentId="13_ncr:1_{25B52F87-F1F8-479A-961A-83EF390A0AC7}" xr6:coauthVersionLast="47" xr6:coauthVersionMax="47" xr10:uidLastSave="{AA016DA8-04E5-412D-A235-19628432D8FD}"/>
  <bookViews>
    <workbookView xWindow="-110" yWindow="-110" windowWidth="19420" windowHeight="11500" tabRatio="897" firstSheet="5" activeTab="5" xr2:uid="{19F902EB-DB2F-42BB-A2D1-6D00D52FD232}"/>
  </bookViews>
  <sheets>
    <sheet name="Professor PROCV" sheetId="4" r:id="rId1"/>
    <sheet name="Professor Nomes em Frase" sheetId="1" r:id="rId2"/>
    <sheet name="Professor Valor data + Recente" sheetId="5" r:id="rId3"/>
    <sheet name="Professor SOMASES" sheetId="6" r:id="rId4"/>
    <sheet name="Professor ÍNDICE CORRESP" sheetId="10" r:id="rId5"/>
    <sheet name="Dados" sheetId="8" r:id="rId6"/>
    <sheet name="Aluno PROCV" sheetId="12" r:id="rId7"/>
    <sheet name="Aluno Nomes em Frase" sheetId="13" r:id="rId8"/>
    <sheet name="Aluno Valor data + Recente" sheetId="14" r:id="rId9"/>
    <sheet name="Aluno SOMASES" sheetId="15" r:id="rId10"/>
    <sheet name="Aluno ÍNDICE CORRESP" sheetId="16" r:id="rId11"/>
  </sheets>
  <definedNames>
    <definedName name="_xlnm._FilterDatabase" localSheetId="10" hidden="1">'Aluno ÍNDICE CORRESP'!$A$15:$D$52</definedName>
    <definedName name="_xlnm._FilterDatabase" localSheetId="9" hidden="1">'Aluno SOMASES'!$B$8:$D$45</definedName>
    <definedName name="_xlnm._FilterDatabase" localSheetId="8" hidden="1">'Aluno Valor data + Recente'!$B$7:$D$21</definedName>
    <definedName name="_xlnm._FilterDatabase" localSheetId="4" hidden="1">'Professor ÍNDICE CORRESP'!$A$15:$D$52</definedName>
    <definedName name="_xlnm._FilterDatabase" localSheetId="3" hidden="1">'Professor SOMASES'!$B$8:$D$45</definedName>
    <definedName name="_xlnm._FilterDatabase" localSheetId="2" hidden="1">'Professor Valor data + Recente'!$B$7:$D$21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6" l="1" a="1"/>
  <c r="G21" i="16" s="1"/>
  <c r="H21" i="16" a="1"/>
  <c r="H21" i="16" s="1"/>
  <c r="I21" i="16" a="1"/>
  <c r="I21" i="16" s="1"/>
  <c r="G22" i="16" a="1"/>
  <c r="G22" i="16" s="1"/>
  <c r="H22" i="16" a="1"/>
  <c r="H22" i="16" s="1"/>
  <c r="I22" i="16" a="1"/>
  <c r="I22" i="16" s="1"/>
  <c r="G23" i="16" a="1"/>
  <c r="G23" i="16" s="1"/>
  <c r="H23" i="16" a="1"/>
  <c r="H23" i="16" s="1"/>
  <c r="I23" i="16" a="1"/>
  <c r="I23" i="16" s="1"/>
  <c r="G24" i="16" a="1"/>
  <c r="G24" i="16" s="1"/>
  <c r="H24" i="16" a="1"/>
  <c r="H24" i="16" s="1"/>
  <c r="I24" i="16" a="1"/>
  <c r="I24" i="16" s="1"/>
  <c r="G17" i="16" a="1"/>
  <c r="G17" i="16" s="1"/>
  <c r="H17" i="16" a="1"/>
  <c r="H17" i="16" s="1"/>
  <c r="I17" i="16" a="1"/>
  <c r="I17" i="16" s="1"/>
  <c r="G18" i="16" a="1"/>
  <c r="G18" i="16" s="1"/>
  <c r="H18" i="16" a="1"/>
  <c r="H18" i="16" s="1"/>
  <c r="I18" i="16" a="1"/>
  <c r="I18" i="16" s="1"/>
  <c r="G19" i="16" a="1"/>
  <c r="G19" i="16" s="1"/>
  <c r="H19" i="16" a="1"/>
  <c r="H19" i="16" s="1"/>
  <c r="I19" i="16" a="1"/>
  <c r="I19" i="16" s="1"/>
  <c r="G20" i="16" a="1"/>
  <c r="G20" i="16" s="1"/>
  <c r="H20" i="16" a="1"/>
  <c r="H20" i="16" s="1"/>
  <c r="I20" i="16" a="1"/>
  <c r="I20" i="16" s="1"/>
  <c r="H16" i="16" a="1"/>
  <c r="H16" i="16" s="1"/>
  <c r="I16" i="16" a="1"/>
  <c r="I16" i="16" s="1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16" i="16"/>
  <c r="L24" i="15"/>
  <c r="L25" i="15"/>
  <c r="L26" i="15"/>
  <c r="L27" i="15"/>
  <c r="L28" i="15"/>
  <c r="L29" i="15"/>
  <c r="L30" i="15"/>
  <c r="L23" i="15"/>
  <c r="K24" i="15"/>
  <c r="K25" i="15"/>
  <c r="K26" i="15"/>
  <c r="K27" i="15"/>
  <c r="K28" i="15"/>
  <c r="K29" i="15"/>
  <c r="K30" i="15"/>
  <c r="K23" i="15"/>
  <c r="I23" i="15"/>
  <c r="I24" i="15"/>
  <c r="I25" i="15"/>
  <c r="I26" i="15"/>
  <c r="I27" i="15"/>
  <c r="I28" i="15"/>
  <c r="I29" i="15"/>
  <c r="I30" i="15"/>
  <c r="H24" i="15"/>
  <c r="H25" i="15"/>
  <c r="H26" i="15"/>
  <c r="H27" i="15"/>
  <c r="H28" i="15"/>
  <c r="H29" i="15"/>
  <c r="H30" i="15"/>
  <c r="H23" i="15"/>
  <c r="L10" i="15"/>
  <c r="L11" i="15"/>
  <c r="L12" i="15"/>
  <c r="L13" i="15"/>
  <c r="L14" i="15"/>
  <c r="L15" i="15"/>
  <c r="L16" i="15"/>
  <c r="L9" i="15"/>
  <c r="K10" i="15"/>
  <c r="K11" i="15"/>
  <c r="K12" i="15"/>
  <c r="K13" i="15"/>
  <c r="K14" i="15"/>
  <c r="K15" i="15"/>
  <c r="K16" i="15"/>
  <c r="K9" i="15"/>
  <c r="M13" i="15"/>
  <c r="M15" i="15"/>
  <c r="I9" i="15"/>
  <c r="I10" i="15"/>
  <c r="I11" i="15"/>
  <c r="I12" i="15"/>
  <c r="I13" i="15"/>
  <c r="J13" i="15" s="1"/>
  <c r="I14" i="15"/>
  <c r="I15" i="15"/>
  <c r="I16" i="15"/>
  <c r="H10" i="15"/>
  <c r="H11" i="15"/>
  <c r="H12" i="15"/>
  <c r="H13" i="15"/>
  <c r="H14" i="15"/>
  <c r="H15" i="15"/>
  <c r="H16" i="15"/>
  <c r="H9" i="15"/>
  <c r="H8" i="14" a="1"/>
  <c r="H8" i="14" s="1"/>
  <c r="H9" i="14" a="1"/>
  <c r="H9" i="14" s="1"/>
  <c r="H10" i="14" a="1"/>
  <c r="H10" i="14" s="1"/>
  <c r="G10" i="14" a="1"/>
  <c r="G10" i="14" s="1"/>
  <c r="G8" i="14" a="1"/>
  <c r="G8" i="14"/>
  <c r="G9" i="14" a="1"/>
  <c r="G9" i="14" s="1"/>
  <c r="D7" i="13"/>
  <c r="E7" i="13"/>
  <c r="H7" i="13"/>
  <c r="I7" i="13"/>
  <c r="J7" i="13"/>
  <c r="K7" i="13"/>
  <c r="L7" i="13"/>
  <c r="H8" i="13"/>
  <c r="I8" i="13"/>
  <c r="J8" i="13"/>
  <c r="K8" i="13"/>
  <c r="L8" i="13"/>
  <c r="H9" i="13"/>
  <c r="I9" i="13"/>
  <c r="J9" i="13"/>
  <c r="K9" i="13"/>
  <c r="L9" i="13"/>
  <c r="H10" i="13"/>
  <c r="I10" i="13"/>
  <c r="J10" i="13"/>
  <c r="K10" i="13"/>
  <c r="L10" i="13"/>
  <c r="H11" i="13"/>
  <c r="I11" i="13"/>
  <c r="J11" i="13"/>
  <c r="K11" i="13"/>
  <c r="L11" i="13"/>
  <c r="H12" i="13"/>
  <c r="I12" i="13"/>
  <c r="J12" i="13"/>
  <c r="K12" i="13"/>
  <c r="L12" i="13"/>
  <c r="G8" i="13"/>
  <c r="G9" i="13"/>
  <c r="G10" i="13"/>
  <c r="G11" i="13"/>
  <c r="G12" i="13"/>
  <c r="G7" i="13"/>
  <c r="D8" i="12"/>
  <c r="D7" i="12"/>
  <c r="D7" i="1"/>
  <c r="E7" i="1"/>
  <c r="G7" i="1"/>
  <c r="H7" i="1"/>
  <c r="I7" i="1"/>
  <c r="J7" i="1"/>
  <c r="K7" i="1"/>
  <c r="L7" i="1"/>
  <c r="D8" i="1"/>
  <c r="E8" i="1"/>
  <c r="G8" i="1"/>
  <c r="H8" i="1"/>
  <c r="I8" i="1"/>
  <c r="J8" i="1"/>
  <c r="K8" i="1"/>
  <c r="L8" i="1"/>
  <c r="D9" i="1"/>
  <c r="E9" i="1"/>
  <c r="G9" i="1"/>
  <c r="H9" i="1"/>
  <c r="I9" i="1"/>
  <c r="J9" i="1"/>
  <c r="K9" i="1"/>
  <c r="L9" i="1"/>
  <c r="D10" i="1"/>
  <c r="E10" i="1"/>
  <c r="G10" i="1"/>
  <c r="H10" i="1"/>
  <c r="I10" i="1"/>
  <c r="J10" i="1"/>
  <c r="K10" i="1"/>
  <c r="L10" i="1"/>
  <c r="D11" i="1"/>
  <c r="E11" i="1"/>
  <c r="G11" i="1"/>
  <c r="H11" i="1"/>
  <c r="I11" i="1"/>
  <c r="J11" i="1"/>
  <c r="K11" i="1"/>
  <c r="L11" i="1"/>
  <c r="D12" i="1"/>
  <c r="E12" i="1"/>
  <c r="G12" i="1"/>
  <c r="H12" i="1"/>
  <c r="I12" i="1"/>
  <c r="J12" i="1"/>
  <c r="K12" i="1"/>
  <c r="L12" i="1"/>
  <c r="E19" i="10"/>
  <c r="E16" i="10"/>
  <c r="A16" i="10" s="1"/>
  <c r="E35" i="10"/>
  <c r="E26" i="10"/>
  <c r="E20" i="10"/>
  <c r="E21" i="10"/>
  <c r="E22" i="10"/>
  <c r="E23" i="10"/>
  <c r="E24" i="10"/>
  <c r="E25" i="10"/>
  <c r="E27" i="10"/>
  <c r="E28" i="10"/>
  <c r="E29" i="10"/>
  <c r="E30" i="10"/>
  <c r="E31" i="10"/>
  <c r="E32" i="10"/>
  <c r="E33" i="10"/>
  <c r="E34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17" i="10"/>
  <c r="A17" i="10" s="1"/>
  <c r="E18" i="10"/>
  <c r="L9" i="6"/>
  <c r="K9" i="6"/>
  <c r="I9" i="6"/>
  <c r="H9" i="6"/>
  <c r="L12" i="6"/>
  <c r="K10" i="6"/>
  <c r="I10" i="6"/>
  <c r="K12" i="6"/>
  <c r="L16" i="6"/>
  <c r="L15" i="6"/>
  <c r="L14" i="6"/>
  <c r="L13" i="6"/>
  <c r="L11" i="6"/>
  <c r="L10" i="6"/>
  <c r="K16" i="6"/>
  <c r="K15" i="6"/>
  <c r="K14" i="6"/>
  <c r="K13" i="6"/>
  <c r="K11" i="6"/>
  <c r="I16" i="6"/>
  <c r="I15" i="6"/>
  <c r="I14" i="6"/>
  <c r="I13" i="6"/>
  <c r="I12" i="6"/>
  <c r="I11" i="6"/>
  <c r="H16" i="6"/>
  <c r="H15" i="6"/>
  <c r="H14" i="6"/>
  <c r="H13" i="6"/>
  <c r="H12" i="6"/>
  <c r="H11" i="6"/>
  <c r="H10" i="6"/>
  <c r="G10" i="5" a="1"/>
  <c r="G10" i="5" s="1"/>
  <c r="G8" i="5" a="1"/>
  <c r="G8" i="5" s="1"/>
  <c r="G9" i="5" a="1"/>
  <c r="G9" i="5" s="1"/>
  <c r="L13" i="1"/>
  <c r="K13" i="1"/>
  <c r="J13" i="1"/>
  <c r="I13" i="1"/>
  <c r="H13" i="1"/>
  <c r="G13" i="1"/>
  <c r="D8" i="4"/>
  <c r="D7" i="4"/>
  <c r="M11" i="15"/>
  <c r="M10" i="15"/>
  <c r="D9" i="14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G16" i="16" l="1" a="1"/>
  <c r="G16" i="16" s="1"/>
  <c r="M14" i="15"/>
  <c r="M9" i="15"/>
  <c r="K17" i="15"/>
  <c r="I17" i="15"/>
  <c r="H17" i="15"/>
  <c r="A23" i="10"/>
  <c r="A21" i="10"/>
  <c r="A29" i="10"/>
  <c r="A52" i="10"/>
  <c r="A27" i="10"/>
  <c r="A34" i="10"/>
  <c r="A25" i="10"/>
  <c r="A50" i="10"/>
  <c r="A42" i="10"/>
  <c r="A33" i="10"/>
  <c r="A24" i="10"/>
  <c r="A47" i="10"/>
  <c r="A26" i="10"/>
  <c r="A35" i="10"/>
  <c r="A49" i="10"/>
  <c r="A22" i="10"/>
  <c r="A28" i="10"/>
  <c r="A36" i="10"/>
  <c r="A43" i="10"/>
  <c r="A41" i="10"/>
  <c r="A30" i="10"/>
  <c r="A44" i="10"/>
  <c r="A51" i="10"/>
  <c r="A32" i="10"/>
  <c r="A18" i="10"/>
  <c r="A46" i="10"/>
  <c r="A38" i="10"/>
  <c r="A20" i="10"/>
  <c r="A40" i="10"/>
  <c r="A39" i="10"/>
  <c r="A31" i="10"/>
  <c r="A19" i="10"/>
  <c r="A48" i="10"/>
  <c r="A45" i="10"/>
  <c r="A37" i="10"/>
  <c r="H17" i="6"/>
  <c r="H23" i="6" s="1"/>
  <c r="J11" i="15"/>
  <c r="M12" i="15"/>
  <c r="J10" i="15"/>
  <c r="J14" i="15"/>
  <c r="J9" i="15"/>
  <c r="J12" i="15"/>
  <c r="J16" i="15"/>
  <c r="L17" i="15"/>
  <c r="M16" i="15"/>
  <c r="I31" i="15"/>
  <c r="J15" i="15"/>
  <c r="I16" i="10" l="1" a="1"/>
  <c r="I16" i="10" s="1"/>
  <c r="G16" i="10" a="1"/>
  <c r="G16" i="10" s="1"/>
  <c r="I19" i="10" a="1"/>
  <c r="I19" i="10" s="1"/>
  <c r="H20" i="10" a="1"/>
  <c r="H20" i="10" s="1"/>
  <c r="G17" i="10" a="1"/>
  <c r="G17" i="10" s="1"/>
  <c r="H17" i="10" a="1"/>
  <c r="H17" i="10" s="1"/>
  <c r="G21" i="10" a="1"/>
  <c r="G21" i="10" s="1"/>
  <c r="I17" i="10" a="1"/>
  <c r="I17" i="10" s="1"/>
  <c r="G19" i="10" a="1"/>
  <c r="G19" i="10" s="1"/>
  <c r="H16" i="10" a="1"/>
  <c r="H16" i="10" s="1"/>
  <c r="H21" i="10" a="1"/>
  <c r="H21" i="10" s="1"/>
  <c r="I20" i="10" a="1"/>
  <c r="I20" i="10" s="1"/>
  <c r="I23" i="10" a="1"/>
  <c r="I23" i="10" s="1"/>
  <c r="H24" i="10" a="1"/>
  <c r="H24" i="10" s="1"/>
  <c r="G22" i="10" a="1"/>
  <c r="G22" i="10" s="1"/>
  <c r="H22" i="10" a="1"/>
  <c r="H22" i="10" s="1"/>
  <c r="H19" i="10" a="1"/>
  <c r="H19" i="10" s="1"/>
  <c r="G20" i="10" a="1"/>
  <c r="G20" i="10" s="1"/>
  <c r="I18" i="10" a="1"/>
  <c r="I18" i="10" s="1"/>
  <c r="G23" i="10" a="1"/>
  <c r="G23" i="10" s="1"/>
  <c r="I24" i="10" a="1"/>
  <c r="I24" i="10" s="1"/>
  <c r="I22" i="10" a="1"/>
  <c r="I22" i="10" s="1"/>
  <c r="H18" i="10" a="1"/>
  <c r="H18" i="10" s="1"/>
  <c r="I21" i="10" a="1"/>
  <c r="I21" i="10" s="1"/>
  <c r="G18" i="10" a="1"/>
  <c r="G18" i="10" s="1"/>
  <c r="H23" i="10" a="1"/>
  <c r="H23" i="10" s="1"/>
  <c r="G24" i="10" a="1"/>
  <c r="G24" i="10" s="1"/>
  <c r="H29" i="6"/>
  <c r="H25" i="6"/>
  <c r="H30" i="6"/>
  <c r="H28" i="6"/>
  <c r="H27" i="6"/>
  <c r="H24" i="6"/>
  <c r="H26" i="6"/>
  <c r="J17" i="15"/>
  <c r="J27" i="15" s="1"/>
  <c r="H31" i="15"/>
  <c r="M17" i="15"/>
  <c r="L31" i="15"/>
  <c r="K31" i="15"/>
  <c r="M9" i="6"/>
  <c r="M16" i="6"/>
  <c r="M15" i="6"/>
  <c r="M14" i="6"/>
  <c r="M13" i="6"/>
  <c r="M12" i="6"/>
  <c r="M11" i="6"/>
  <c r="M10" i="6"/>
  <c r="J16" i="6"/>
  <c r="J15" i="6"/>
  <c r="J14" i="6"/>
  <c r="J13" i="6"/>
  <c r="J12" i="6"/>
  <c r="J11" i="6"/>
  <c r="J10" i="6"/>
  <c r="J9" i="6"/>
  <c r="J30" i="15" l="1"/>
  <c r="H31" i="6"/>
  <c r="J24" i="15"/>
  <c r="J26" i="15"/>
  <c r="J29" i="15"/>
  <c r="J28" i="15"/>
  <c r="J23" i="15"/>
  <c r="M28" i="15"/>
  <c r="M23" i="15"/>
  <c r="M24" i="15"/>
  <c r="M29" i="15"/>
  <c r="M25" i="15"/>
  <c r="M27" i="15"/>
  <c r="M26" i="15"/>
  <c r="J25" i="15"/>
  <c r="M30" i="15"/>
  <c r="M17" i="6"/>
  <c r="M23" i="6" s="1"/>
  <c r="J17" i="6"/>
  <c r="J24" i="6" s="1"/>
  <c r="I17" i="6"/>
  <c r="K17" i="6"/>
  <c r="L17" i="6"/>
  <c r="J31" i="15" l="1"/>
  <c r="L25" i="6"/>
  <c r="L24" i="6"/>
  <c r="L30" i="6"/>
  <c r="L29" i="6"/>
  <c r="L28" i="6"/>
  <c r="L27" i="6"/>
  <c r="L26" i="6"/>
  <c r="L23" i="6"/>
  <c r="K27" i="6"/>
  <c r="K26" i="6"/>
  <c r="K30" i="6"/>
  <c r="K24" i="6"/>
  <c r="K29" i="6"/>
  <c r="K25" i="6"/>
  <c r="K28" i="6"/>
  <c r="K23" i="6"/>
  <c r="I24" i="6"/>
  <c r="I28" i="6"/>
  <c r="I27" i="6"/>
  <c r="I26" i="6"/>
  <c r="I25" i="6"/>
  <c r="I30" i="6"/>
  <c r="I29" i="6"/>
  <c r="I23" i="6"/>
  <c r="J23" i="6"/>
  <c r="M31" i="15"/>
  <c r="M27" i="6"/>
  <c r="M25" i="6"/>
  <c r="M29" i="6"/>
  <c r="M28" i="6"/>
  <c r="M26" i="6"/>
  <c r="M24" i="6"/>
  <c r="M30" i="6"/>
  <c r="J28" i="6"/>
  <c r="J27" i="6"/>
  <c r="J30" i="6"/>
  <c r="J29" i="6"/>
  <c r="J26" i="6"/>
  <c r="J25" i="6"/>
  <c r="M31" i="6" l="1"/>
  <c r="J31" i="6"/>
  <c r="I31" i="6"/>
  <c r="L31" i="6"/>
  <c r="K31" i="6"/>
  <c r="D9" i="5" l="1"/>
  <c r="D10" i="5" s="1"/>
  <c r="D11" i="5" s="1"/>
  <c r="D12" i="5" s="1"/>
  <c r="D13" i="5" s="1"/>
  <c r="D14" i="5" s="1"/>
  <c r="D15" i="5" s="1"/>
  <c r="D16" i="5" s="1"/>
  <c r="D17" i="5" s="1"/>
  <c r="D18" i="5" s="1"/>
  <c r="H10" i="5" s="1" a="1"/>
  <c r="H10" i="5" s="1"/>
  <c r="D19" i="5" l="1"/>
  <c r="D20" i="5" s="1"/>
  <c r="H8" i="5" s="1" a="1"/>
  <c r="H8" i="5" s="1"/>
  <c r="D21" i="5" l="1"/>
  <c r="H9" i="5" s="1" a="1"/>
  <c r="H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<sst xmlns="http://schemas.openxmlformats.org/spreadsheetml/2006/main" count="524" uniqueCount="91">
  <si>
    <t>Lista</t>
  </si>
  <si>
    <t>Texto</t>
  </si>
  <si>
    <t>Allan</t>
  </si>
  <si>
    <t>Rose</t>
  </si>
  <si>
    <t>Nicolas</t>
  </si>
  <si>
    <t>Allan é Legal, Nicolas é também</t>
  </si>
  <si>
    <t>Ryan</t>
  </si>
  <si>
    <t>Amanda</t>
  </si>
  <si>
    <t>Steve</t>
  </si>
  <si>
    <t>Rose e Steve, Nicolas, Allan</t>
  </si>
  <si>
    <t>Ryan é meu amigo</t>
  </si>
  <si>
    <t>Allan é Show, Amanda também é</t>
  </si>
  <si>
    <t>Steve é um cara sensacional</t>
  </si>
  <si>
    <t>Rose é muito simpática</t>
  </si>
  <si>
    <t>a lista entre B7:B12 e informe quais dos nomes da lista estão no texto da coluna C</t>
  </si>
  <si>
    <t>Formula 1</t>
  </si>
  <si>
    <t>Formula 2</t>
  </si>
  <si>
    <t>Produto</t>
  </si>
  <si>
    <t>Valor</t>
  </si>
  <si>
    <t>Leite</t>
  </si>
  <si>
    <t>Arroz</t>
  </si>
  <si>
    <t>Data</t>
  </si>
  <si>
    <t>Nome</t>
  </si>
  <si>
    <t>Condição</t>
  </si>
  <si>
    <t>Data mais recente</t>
  </si>
  <si>
    <t>Valor Condição + Data mais recente</t>
  </si>
  <si>
    <t>A</t>
  </si>
  <si>
    <t>B</t>
  </si>
  <si>
    <t>C</t>
  </si>
  <si>
    <t>D</t>
  </si>
  <si>
    <t>as informações da tabela e traga a data e o valor mais recente</t>
  </si>
  <si>
    <t>Vendedor</t>
  </si>
  <si>
    <t>Leonardo Almeida</t>
  </si>
  <si>
    <t>Eliane Moreira</t>
  </si>
  <si>
    <t>Nicolas Pereira</t>
  </si>
  <si>
    <t>Amanda Martins</t>
  </si>
  <si>
    <t>Paulo Santos</t>
  </si>
  <si>
    <t>Aline Rosa</t>
  </si>
  <si>
    <t>Angela Maria</t>
  </si>
  <si>
    <t>Carlos Moreira</t>
  </si>
  <si>
    <t>Qtd</t>
  </si>
  <si>
    <t>1 quinzena</t>
  </si>
  <si>
    <t>Janeiro</t>
  </si>
  <si>
    <t>2 quinzena</t>
  </si>
  <si>
    <t>01/01 a 15/01</t>
  </si>
  <si>
    <t>16/01 a 31/01</t>
  </si>
  <si>
    <t>Fevereiro</t>
  </si>
  <si>
    <t>01/02 a 15/02</t>
  </si>
  <si>
    <t>16/02 a 28/02</t>
  </si>
  <si>
    <t>Total</t>
  </si>
  <si>
    <t>na segunda tabela preencha com a média da venda por vendedor e período</t>
  </si>
  <si>
    <t>utilize os dados da tabela 1 para preencher a tabela 2</t>
  </si>
  <si>
    <t xml:space="preserve"> Total </t>
  </si>
  <si>
    <t>Calça Feminina Jogger</t>
  </si>
  <si>
    <t>Camisa Masculina</t>
  </si>
  <si>
    <t>Bermuda Masculino</t>
  </si>
  <si>
    <t>Jaqueta Masculina Preta</t>
  </si>
  <si>
    <t>Bolsa de Trabalho</t>
  </si>
  <si>
    <t>Vestido Infantil</t>
  </si>
  <si>
    <t>Sapato Social</t>
  </si>
  <si>
    <t>Data Inicio</t>
  </si>
  <si>
    <t>Desafio</t>
  </si>
  <si>
    <t xml:space="preserve">use também as funções LIN e COL tanto para linha quanto para a coluna, use também as âncoras </t>
  </si>
  <si>
    <t>para que seja possível copiar a fórmula da G16 para as demais células entre G16:I24</t>
  </si>
  <si>
    <t>Quantidade</t>
  </si>
  <si>
    <t>Preço</t>
  </si>
  <si>
    <t>Use a função PROCV para pesquisar o valor do produto</t>
  </si>
  <si>
    <t xml:space="preserve"> e multiplique pela quantidade</t>
  </si>
  <si>
    <t>Crie uma fórmula combinando as funções ARRUMAR, SE, ÉNÚM e LOCALIZAR que leia</t>
  </si>
  <si>
    <t>Crie uma fórmula com as funções MÁXIMO, SE, ÍNDICE e CORRESP que através da condição da coluna F leia</t>
  </si>
  <si>
    <t>Crie uma fórmula usando a função SOMASES preencha a primeira tabela com o total de Vendas por quinzena:</t>
  </si>
  <si>
    <t>Faça uma fórmula usando o SEERRO e ÍNDICE CORRESP que faça uma filtro com duas Condições</t>
  </si>
  <si>
    <t>=VLOOKUP(B7;G:H;2;0)*C7</t>
  </si>
  <si>
    <t>Fórmula em inglês</t>
  </si>
  <si>
    <t>=TRIM(IF(ISNUMBER(SEARCH(G$6;$C7));G$6;"")&amp;" "&amp;
IF(ISNUMBER(SEARCH(H$6;$C7));H$6;" ")&amp;" "&amp;
IF(ISNUMBER(SEARCH(I$6;$C7));I$6;" ")&amp; "  " &amp;
IF(ISNUMBER(SEARCH(J$6;$C7));J$6;" ")&amp; "  " &amp;
IF(ISNUMBER(SEARCH(K$6;$C7));K$6;" ")&amp; "  " &amp;
IF(ISNUMBER(SEARCH(L$6;$C7));L$6;" "))</t>
  </si>
  <si>
    <t>Fórmula em inglês Formula 1</t>
  </si>
  <si>
    <t>=TRIM(IF(ISNUMBER(SEARCH("Rose";$C7));"Rose, ";"")&amp;" "&amp;
IF(ISNUMBER(SEARCH("Nicolas";$C7));"Nicolas, ";"")&amp;" "&amp;
IF(ISNUMBER(SEARCH("Allan";$C7));"Allan, ";"")&amp; "  " &amp;
IF(ISNUMBER(SEARCH("Ryan";$C7));"Ryan, ";" ")&amp; "  " &amp;
IF(ISNUMBER(SEARCH("Amanda";$C7));"Amanda, ";" ")&amp; "  " &amp;
IF(ISNUMBER(SEARCH("Steve";$C7));"Steve";" "))</t>
  </si>
  <si>
    <t>Fórmula em inglês Formula 2</t>
  </si>
  <si>
    <t>Fórmula em inglês Data mais recente</t>
  </si>
  <si>
    <t>=MAX(IF($C$7:$C$21=$F8;$B$7:$B$21))</t>
  </si>
  <si>
    <t>Fórmula em inglês Valor Condição + Data mais recente</t>
  </si>
  <si>
    <t>=INDEX($B$8:$D$21;MATCH(F8&amp;G8;$C$8:$C$21&amp;$B$8:$B$21;0);3)</t>
  </si>
  <si>
    <t>=SUMIFS($D$9:$D$45;$B$9:$B$45;$G9;$C$9:$C$45;"&gt;=01/01/2023";$C$9:$C$45;"&lt;=15/01/2023")</t>
  </si>
  <si>
    <t>Fórmula em inglês Tabela 1</t>
  </si>
  <si>
    <t>=SUMIFS($D$9:$D$45;$B$9:$B$45;$G9;$C$9:$C$45;"&gt;=16/01/2023";$C$9:$C$45;"&lt;=31/01/2023")</t>
  </si>
  <si>
    <t>=SUMIFS($D$9:$D$45;$B$9:$B$45;$G9;$C$9:$C$45;"&gt;=01/02/2023";$C$9:$C$45;"&lt;=15/02/2023")</t>
  </si>
  <si>
    <t>=SUMIFS($D$9:$D$45;$B$9:$B$45;$G9;$C$9:$C$45;"&gt;=16/02/2023";$C$9:$C$45;"&lt;=28/02/2023")</t>
  </si>
  <si>
    <t>=B16&amp;COUNTIF($E$16:E16;E16)</t>
  </si>
  <si>
    <t>=IFERROR(INDEX($A$16:$D$52;
MATCH($G$13&amp;ROW(A1)&amp;$G$13&amp;$H$13;
$A$16:$A$52&amp;$B$16:$B$52&amp;$C$16:$C$52;0);COLUMN(B1));"")</t>
  </si>
  <si>
    <t>Vendas</t>
  </si>
  <si>
    <t>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</si>
</sst>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B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3" xfId="0" applyFont="1" applyBorder="1"/>
    <xf numFmtId="0" fontId="2" fillId="2" borderId="2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44" fontId="1" fillId="0" borderId="3" xfId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1" fillId="0" borderId="0" xfId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0" fontId="7" fillId="4" borderId="4" xfId="0" applyFont="1" applyFill="1" applyBorder="1"/>
    <xf numFmtId="44" fontId="7" fillId="4" borderId="0" xfId="1" applyFont="1" applyFill="1" applyBorder="1" applyAlignment="1">
      <alignment horizontal="right"/>
    </xf>
    <xf numFmtId="0" fontId="7" fillId="4" borderId="0" xfId="0" applyFont="1" applyFill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9" fillId="4" borderId="2" xfId="0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9" fontId="9" fillId="4" borderId="2" xfId="2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3" fillId="6" borderId="3" xfId="0" applyFont="1" applyFill="1" applyBorder="1"/>
    <xf numFmtId="0" fontId="3" fillId="6" borderId="1" xfId="0" applyFont="1" applyFill="1" applyBorder="1"/>
    <xf numFmtId="14" fontId="6" fillId="6" borderId="1" xfId="0" applyNumberFormat="1" applyFont="1" applyFill="1" applyBorder="1" applyAlignment="1">
      <alignment horizontal="center"/>
    </xf>
    <xf numFmtId="44" fontId="6" fillId="6" borderId="1" xfId="1" applyFont="1" applyFill="1" applyBorder="1" applyAlignment="1">
      <alignment horizontal="center"/>
    </xf>
    <xf numFmtId="0" fontId="10" fillId="5" borderId="5" xfId="0" applyFont="1" applyFill="1" applyBorder="1"/>
    <xf numFmtId="0" fontId="10" fillId="0" borderId="5" xfId="0" applyFont="1" applyBorder="1"/>
    <xf numFmtId="44" fontId="10" fillId="0" borderId="5" xfId="1" applyFont="1" applyBorder="1"/>
    <xf numFmtId="44" fontId="10" fillId="5" borderId="5" xfId="1" applyFont="1" applyFill="1" applyBorder="1"/>
    <xf numFmtId="0" fontId="11" fillId="0" borderId="0" xfId="0" applyFont="1"/>
    <xf numFmtId="0" fontId="10" fillId="0" borderId="0" xfId="0" applyFont="1"/>
    <xf numFmtId="1" fontId="6" fillId="0" borderId="1" xfId="1" applyNumberFormat="1" applyFont="1" applyFill="1" applyBorder="1"/>
    <xf numFmtId="44" fontId="1" fillId="6" borderId="3" xfId="1" applyFont="1" applyFill="1" applyBorder="1" applyAlignment="1">
      <alignment horizontal="center"/>
    </xf>
    <xf numFmtId="0" fontId="3" fillId="0" borderId="0" xfId="0" quotePrefix="1" applyFont="1"/>
    <xf numFmtId="0" fontId="12" fillId="0" borderId="1" xfId="0" applyFont="1" applyBorder="1" applyAlignment="1">
      <alignment horizontal="center"/>
    </xf>
    <xf numFmtId="14" fontId="12" fillId="6" borderId="1" xfId="0" applyNumberFormat="1" applyFont="1" applyFill="1" applyBorder="1" applyAlignment="1">
      <alignment horizontal="center"/>
    </xf>
    <xf numFmtId="44" fontId="12" fillId="6" borderId="1" xfId="1" applyFont="1" applyFill="1" applyBorder="1" applyAlignment="1">
      <alignment horizontal="center"/>
    </xf>
    <xf numFmtId="10" fontId="6" fillId="6" borderId="1" xfId="2" applyNumberFormat="1" applyFont="1" applyFill="1" applyBorder="1" applyAlignment="1">
      <alignment horizontal="center"/>
    </xf>
    <xf numFmtId="0" fontId="1" fillId="5" borderId="5" xfId="0" applyFont="1" applyFill="1" applyBorder="1"/>
    <xf numFmtId="44" fontId="1" fillId="5" borderId="5" xfId="1" applyFont="1" applyFill="1" applyBorder="1"/>
    <xf numFmtId="0" fontId="1" fillId="0" borderId="5" xfId="0" applyFont="1" applyBorder="1"/>
    <xf numFmtId="44" fontId="1" fillId="0" borderId="5" xfId="1" applyFont="1" applyBorder="1"/>
    <xf numFmtId="10" fontId="6" fillId="7" borderId="1" xfId="2" applyNumberFormat="1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DD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C73B-8083-432B-9A2D-CC2184993097}">
  <dimension ref="B3:S8"/>
  <sheetViews>
    <sheetView showGridLines="0" zoomScale="84" zoomScaleNormal="100" workbookViewId="0">
      <selection activeCell="B6" sqref="B6"/>
    </sheetView>
  </sheetViews>
  <sheetFormatPr defaultRowHeight="14.5" x14ac:dyDescent="0.35"/>
  <cols>
    <col min="2" max="2" width="15.81640625" bestFit="1" customWidth="1"/>
    <col min="3" max="3" width="22.453125" style="1" bestFit="1" customWidth="1"/>
    <col min="4" max="4" width="25.1796875" style="1" bestFit="1" customWidth="1"/>
    <col min="5" max="5" width="21.90625" style="1" customWidth="1"/>
    <col min="7" max="7" width="15.81640625" bestFit="1" customWidth="1"/>
    <col min="8" max="8" width="23.90625" style="1" bestFit="1" customWidth="1"/>
  </cols>
  <sheetData>
    <row r="3" spans="2:19" ht="26" x14ac:dyDescent="0.6">
      <c r="B3" s="2" t="s">
        <v>66</v>
      </c>
      <c r="S3" s="44" t="s">
        <v>73</v>
      </c>
    </row>
    <row r="4" spans="2:19" ht="26" x14ac:dyDescent="0.6">
      <c r="B4" s="2" t="s">
        <v>67</v>
      </c>
      <c r="S4" s="44" t="s">
        <v>72</v>
      </c>
    </row>
    <row r="6" spans="2:19" ht="31" x14ac:dyDescent="0.7">
      <c r="B6" s="11" t="s">
        <v>17</v>
      </c>
      <c r="C6" s="12" t="s">
        <v>64</v>
      </c>
      <c r="D6" s="12" t="s">
        <v>18</v>
      </c>
      <c r="F6" s="6"/>
      <c r="G6" s="11" t="s">
        <v>17</v>
      </c>
      <c r="H6" s="12" t="s">
        <v>65</v>
      </c>
    </row>
    <row r="7" spans="2:19" ht="31" x14ac:dyDescent="0.7">
      <c r="B7" s="9" t="s">
        <v>19</v>
      </c>
      <c r="C7" s="10">
        <v>10</v>
      </c>
      <c r="D7" s="43">
        <f>VLOOKUP(B7,G:H,2,0)*C7</f>
        <v>120</v>
      </c>
      <c r="E7" s="15"/>
      <c r="F7" s="6"/>
      <c r="G7" s="9" t="s">
        <v>19</v>
      </c>
      <c r="H7" s="13">
        <v>12</v>
      </c>
    </row>
    <row r="8" spans="2:19" ht="31" x14ac:dyDescent="0.7">
      <c r="B8" s="7" t="s">
        <v>20</v>
      </c>
      <c r="C8" s="8">
        <v>20</v>
      </c>
      <c r="D8" s="43">
        <f>VLOOKUP(B8,G:H,2,0)*C8</f>
        <v>700</v>
      </c>
      <c r="E8" s="15"/>
      <c r="F8" s="6"/>
      <c r="G8" s="7" t="s">
        <v>20</v>
      </c>
      <c r="H8" s="14">
        <v>35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EFC2-ABB2-45BA-97E8-070BF55EBDC3}">
  <dimension ref="B2:P13"/>
  <sheetViews>
    <sheetView showGridLines="0" workbookViewId="0">
      <selection activeCell="B6" sqref="B6"/>
    </sheetView>
  </sheetViews>
  <sheetFormatPr defaultRowHeight="14.5" x14ac:dyDescent="0.35"/>
  <cols>
    <col min="2" max="2" width="24.54296875" customWidth="1"/>
    <col min="3" max="3" width="50.90625" bestFit="1" customWidth="1"/>
    <col min="4" max="4" width="37.453125" customWidth="1"/>
    <col min="5" max="5" width="40.1796875" customWidth="1"/>
    <col min="6" max="6" width="15.81640625" customWidth="1"/>
    <col min="7" max="8" width="14.81640625" bestFit="1" customWidth="1"/>
    <col min="9" max="11" width="21.1796875" bestFit="1" customWidth="1"/>
    <col min="12" max="12" width="14.81640625" bestFit="1" customWidth="1"/>
  </cols>
  <sheetData>
    <row r="2" spans="2:16" ht="26" x14ac:dyDescent="0.6">
      <c r="B2" s="2" t="s">
        <v>68</v>
      </c>
    </row>
    <row r="3" spans="2:16" ht="26" x14ac:dyDescent="0.6">
      <c r="B3" s="2" t="s">
        <v>14</v>
      </c>
      <c r="P3" s="44" t="s">
        <v>75</v>
      </c>
    </row>
    <row r="4" spans="2:16" ht="26" x14ac:dyDescent="0.6">
      <c r="B4" s="2"/>
      <c r="P4" s="44" t="s">
        <v>74</v>
      </c>
    </row>
    <row r="6" spans="2:16" ht="26" x14ac:dyDescent="0.6">
      <c r="B6" s="5" t="s">
        <v>0</v>
      </c>
      <c r="C6" s="5" t="s">
        <v>1</v>
      </c>
      <c r="D6" s="5" t="s">
        <v>15</v>
      </c>
      <c r="E6" s="5" t="s">
        <v>16</v>
      </c>
      <c r="G6" s="4" t="s">
        <v>3</v>
      </c>
      <c r="H6" s="3" t="s">
        <v>4</v>
      </c>
      <c r="I6" s="3" t="s">
        <v>2</v>
      </c>
      <c r="J6" s="3" t="s">
        <v>6</v>
      </c>
      <c r="K6" s="3" t="s">
        <v>7</v>
      </c>
      <c r="L6" s="3" t="s">
        <v>8</v>
      </c>
      <c r="P6" s="44" t="s">
        <v>77</v>
      </c>
    </row>
    <row r="7" spans="2:16" ht="26" x14ac:dyDescent="0.6">
      <c r="B7" s="4" t="s">
        <v>3</v>
      </c>
      <c r="C7" s="4" t="s">
        <v>5</v>
      </c>
      <c r="D7" s="32" t="str">
        <f>TRIM(IF(ISNUMBER(SEARCH(G$6,$C7)),G$6,"")&amp; " "&amp;
IF(ISNUMBER(SEARCH(H$6,$C7)),H$6,"")&amp; " " &amp;
IF(ISNUMBER(SEARCH(I$6,$C7)),I$6,"") &amp; " " &amp;
IF(ISNUMBER(SEARCH(J$6,$C7)),J$6,"") &amp; " " &amp;
IF(ISNUMBER(SEARCH(K$6,$C7)),K$6,"") &amp; " " &amp;
IF(ISNUMBER(SEARCH(L$6,$C7)),L$6,""))</f>
        <v>Nicolas Allan</v>
      </c>
      <c r="E7" s="32" t="str">
        <f>TRIM(IF(ISNUMBER(SEARCH("Rose",$C7)),"Rose, ","") &amp; " " &amp;
IF(ISNUMBER(SEARCH("Nicolas",$C7)),"Nicolas, ","") &amp; " " &amp;
IF(ISNUMBER(SEARCH("Allan",$C7)),"Allan, ","") &amp; " " &amp;
IF(ISNUMBER(SEARCH("Ryan",$C7)),"Ryan, ","") &amp; " " &amp;
IF(ISNUMBER(SEARCH("Amanda",$C7)),"Amanda, ","") &amp; " " &amp;
IF(ISNUMBER(SEARCH("Steve",$C7)),"Steve, ",""))</f>
        <v>Nicolas, Allan,</v>
      </c>
      <c r="G7" s="2" t="e">
        <f>SEARCH(G$6,$C7)</f>
        <v>#VALUE!</v>
      </c>
      <c r="H7" s="2">
        <f t="shared" ref="H7:L7" si="0">SEARCH(H$6,$C7)</f>
        <v>16</v>
      </c>
      <c r="I7" s="2">
        <f t="shared" si="0"/>
        <v>1</v>
      </c>
      <c r="J7" s="2" t="e">
        <f t="shared" si="0"/>
        <v>#VALUE!</v>
      </c>
      <c r="K7" s="2" t="e">
        <f t="shared" si="0"/>
        <v>#VALUE!</v>
      </c>
      <c r="L7" s="2" t="e">
        <f t="shared" si="0"/>
        <v>#VALUE!</v>
      </c>
      <c r="P7" s="44" t="s">
        <v>76</v>
      </c>
    </row>
    <row r="8" spans="2:16" ht="26" x14ac:dyDescent="0.6">
      <c r="B8" s="3" t="s">
        <v>4</v>
      </c>
      <c r="C8" s="3" t="s">
        <v>10</v>
      </c>
      <c r="D8" s="32" t="str">
        <f t="shared" ref="D8:D12" si="1">TRIM(IF(ISNUMBER(SEARCH(G$6,$C8)),G$6,"")&amp; " "&amp;
IF(ISNUMBER(SEARCH(H$6,$C8)),H$6,"")&amp; " " &amp;
IF(ISNUMBER(SEARCH(I$6,$C8)),I$6,"") &amp; " " &amp;
IF(ISNUMBER(SEARCH(J$6,$C8)),J$6,"") &amp; " " &amp;
IF(ISNUMBER(SEARCH(K$6,$C8)),K$6,"") &amp; " " &amp;
IF(ISNUMBER(SEARCH(L$6,$C8)),L$6,""))</f>
        <v>Ryan</v>
      </c>
      <c r="E8" s="32" t="str">
        <f t="shared" ref="E8:E12" si="2">TRIM(IF(ISNUMBER(SEARCH("Rose",$C8)),"Rose, ","") &amp; " " &amp;
IF(ISNUMBER(SEARCH("Nicolas",$C8)),"Nicolas, ","") &amp; " " &amp;
IF(ISNUMBER(SEARCH("Allan",$C8)),"Allan, ","") &amp; " " &amp;
IF(ISNUMBER(SEARCH("Ryan",$C8)),"Ryan, ","") &amp; " " &amp;
IF(ISNUMBER(SEARCH("Amanda",$C8)),"Amanda, ","") &amp; " " &amp;
IF(ISNUMBER(SEARCH("Steve",$C8)),"Steve, ",""))</f>
        <v>Ryan,</v>
      </c>
      <c r="G8" s="2" t="b">
        <f>ISNUMBER(SEARCH(G$6,$C8))</f>
        <v>0</v>
      </c>
      <c r="H8" s="2" t="b">
        <f t="shared" ref="H8:L8" si="3">ISNUMBER(SEARCH(H$6,$C8))</f>
        <v>0</v>
      </c>
      <c r="I8" s="2" t="b">
        <f t="shared" si="3"/>
        <v>0</v>
      </c>
      <c r="J8" s="2" t="b">
        <f>ISNUMBER(SEARCH(J$6,$C8))</f>
        <v>1</v>
      </c>
      <c r="K8" s="2" t="b">
        <f t="shared" si="3"/>
        <v>0</v>
      </c>
      <c r="L8" s="2" t="b">
        <f t="shared" si="3"/>
        <v>0</v>
      </c>
    </row>
    <row r="9" spans="2:16" ht="26" x14ac:dyDescent="0.6">
      <c r="B9" s="3" t="s">
        <v>2</v>
      </c>
      <c r="C9" s="3" t="s">
        <v>11</v>
      </c>
      <c r="D9" s="32" t="str">
        <f t="shared" si="1"/>
        <v>Allan Amanda</v>
      </c>
      <c r="E9" s="32" t="str">
        <f t="shared" si="2"/>
        <v>Allan, Amanda,</v>
      </c>
      <c r="G9" s="2" t="str">
        <f>IF(ISNUMBER(SEARCH(G$6,$C9)),G$6,"")</f>
        <v/>
      </c>
      <c r="H9" s="2" t="str">
        <f t="shared" ref="H9:L13" si="4">IF(ISNUMBER(SEARCH(H$6,$C9)),H$6,"")</f>
        <v/>
      </c>
      <c r="I9" s="2" t="str">
        <f>IF(ISNUMBER(SEARCH(I$6,$C9)),I$6,"")</f>
        <v>Allan</v>
      </c>
      <c r="J9" s="2" t="str">
        <f t="shared" si="4"/>
        <v/>
      </c>
      <c r="K9" s="2" t="str">
        <f t="shared" si="4"/>
        <v>Amanda</v>
      </c>
      <c r="L9" s="2" t="str">
        <f t="shared" si="4"/>
        <v/>
      </c>
    </row>
    <row r="10" spans="2:16" ht="26" x14ac:dyDescent="0.6">
      <c r="B10" s="3" t="s">
        <v>6</v>
      </c>
      <c r="C10" s="3" t="s">
        <v>12</v>
      </c>
      <c r="D10" s="32" t="str">
        <f t="shared" si="1"/>
        <v>Steve</v>
      </c>
      <c r="E10" s="32" t="str">
        <f t="shared" si="2"/>
        <v>Steve,</v>
      </c>
      <c r="G10" s="2" t="str">
        <f t="shared" ref="G10:G13" si="5">IF(ISNUMBER(SEARCH(G$6,$C10)),G$6,"")</f>
        <v/>
      </c>
      <c r="H10" s="2" t="str">
        <f t="shared" si="4"/>
        <v/>
      </c>
      <c r="I10" s="2" t="str">
        <f t="shared" si="4"/>
        <v/>
      </c>
      <c r="J10" s="2" t="str">
        <f t="shared" si="4"/>
        <v/>
      </c>
      <c r="K10" s="2" t="str">
        <f t="shared" si="4"/>
        <v/>
      </c>
      <c r="L10" s="2" t="str">
        <f>IF(ISNUMBER(SEARCH(L$6,$C10)),L$6,"")</f>
        <v>Steve</v>
      </c>
    </row>
    <row r="11" spans="2:16" ht="26" x14ac:dyDescent="0.6">
      <c r="B11" s="3" t="s">
        <v>7</v>
      </c>
      <c r="C11" s="3" t="s">
        <v>13</v>
      </c>
      <c r="D11" s="32" t="str">
        <f t="shared" si="1"/>
        <v>Rose</v>
      </c>
      <c r="E11" s="32" t="str">
        <f t="shared" si="2"/>
        <v>Rose,</v>
      </c>
      <c r="G11" s="2" t="str">
        <f>IF(ISNUMBER(SEARCH(G$6,$C11)),G$6,"")</f>
        <v>Rose</v>
      </c>
      <c r="H11" s="2" t="str">
        <f t="shared" si="4"/>
        <v/>
      </c>
      <c r="I11" s="2" t="str">
        <f t="shared" si="4"/>
        <v/>
      </c>
      <c r="J11" s="2" t="str">
        <f t="shared" si="4"/>
        <v/>
      </c>
      <c r="K11" s="2" t="str">
        <f t="shared" si="4"/>
        <v/>
      </c>
      <c r="L11" s="2" t="str">
        <f t="shared" si="4"/>
        <v/>
      </c>
    </row>
    <row r="12" spans="2:16" ht="26" x14ac:dyDescent="0.6">
      <c r="B12" s="3" t="s">
        <v>8</v>
      </c>
      <c r="C12" s="3" t="s">
        <v>9</v>
      </c>
      <c r="D12" s="32" t="str">
        <f t="shared" si="1"/>
        <v>Rose Nicolas Allan Steve</v>
      </c>
      <c r="E12" s="32" t="str">
        <f t="shared" si="2"/>
        <v>Rose, Nicolas, Allan, Steve,</v>
      </c>
      <c r="G12" s="2" t="str">
        <f>IF(ISNUMBER(SEARCH(G$6,$C12)),G$6,"")</f>
        <v>Rose</v>
      </c>
      <c r="H12" s="2" t="str">
        <f>IF(ISNUMBER(SEARCH(H$6,$C12)),H$6,"")</f>
        <v>Nicolas</v>
      </c>
      <c r="I12" s="2" t="str">
        <f>IF(ISNUMBER(SEARCH(I$6,$C12)),I$6,"")</f>
        <v>Allan</v>
      </c>
      <c r="J12" s="2" t="str">
        <f t="shared" si="4"/>
        <v/>
      </c>
      <c r="K12" s="2" t="str">
        <f t="shared" si="4"/>
        <v/>
      </c>
      <c r="L12" s="2" t="str">
        <f>IF(ISNUMBER(SEARCH(L$6,$C12)),L$6,"")</f>
        <v>Steve</v>
      </c>
    </row>
    <row r="13" spans="2:16" ht="26" x14ac:dyDescent="0.6">
      <c r="G13" s="2" t="str">
        <f t="shared" si="5"/>
        <v/>
      </c>
      <c r="H13" s="2" t="str">
        <f t="shared" si="4"/>
        <v/>
      </c>
      <c r="I13" s="2" t="str">
        <f t="shared" si="4"/>
        <v/>
      </c>
      <c r="J13" s="2" t="str">
        <f t="shared" si="4"/>
        <v/>
      </c>
      <c r="K13" s="2" t="str">
        <f t="shared" si="4"/>
        <v/>
      </c>
      <c r="L13" s="2" t="str">
        <f t="shared" si="4"/>
        <v/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48AE-2B42-43E4-89AB-435DA0DED7ED}">
  <dimension ref="B3:S21"/>
  <sheetViews>
    <sheetView showGridLines="0" workbookViewId="0">
      <selection activeCell="B7" sqref="B7"/>
    </sheetView>
  </sheetViews>
  <sheetFormatPr defaultRowHeight="14.5" x14ac:dyDescent="0.35"/>
  <cols>
    <col min="2" max="2" width="24.6328125" customWidth="1"/>
    <col min="3" max="3" width="9.1796875" bestFit="1" customWidth="1"/>
    <col min="4" max="4" width="19" bestFit="1" customWidth="1"/>
    <col min="6" max="6" width="13.54296875" style="1" bestFit="1" customWidth="1"/>
    <col min="7" max="7" width="25.6328125" style="1" bestFit="1" customWidth="1"/>
    <col min="8" max="8" width="49.1796875" style="1" bestFit="1" customWidth="1"/>
  </cols>
  <sheetData>
    <row r="3" spans="2:19" ht="26" x14ac:dyDescent="0.6">
      <c r="B3" s="2" t="s">
        <v>69</v>
      </c>
    </row>
    <row r="4" spans="2:19" ht="26" x14ac:dyDescent="0.6">
      <c r="B4" s="2" t="s">
        <v>30</v>
      </c>
    </row>
    <row r="7" spans="2:19" ht="26" x14ac:dyDescent="0.6">
      <c r="B7" s="16" t="s">
        <v>21</v>
      </c>
      <c r="C7" s="16" t="s">
        <v>22</v>
      </c>
      <c r="D7" s="16" t="s">
        <v>18</v>
      </c>
      <c r="F7" s="16" t="s">
        <v>23</v>
      </c>
      <c r="G7" s="16" t="s">
        <v>24</v>
      </c>
      <c r="H7" s="16" t="s">
        <v>25</v>
      </c>
      <c r="S7" s="44" t="s">
        <v>78</v>
      </c>
    </row>
    <row r="8" spans="2:19" ht="33.5" x14ac:dyDescent="0.75">
      <c r="B8" s="18">
        <v>45007</v>
      </c>
      <c r="C8" s="17" t="s">
        <v>26</v>
      </c>
      <c r="D8" s="19">
        <v>100</v>
      </c>
      <c r="F8" s="45" t="s">
        <v>26</v>
      </c>
      <c r="G8" s="46">
        <f t="array" ref="G8">MAX(IF($C$7:$C$21=F8,$B$7:$B$21))</f>
        <v>45067</v>
      </c>
      <c r="H8" s="47">
        <f t="array" ref="H8">INDEX($B$8:$D$21,MATCH(F8&amp;G8,$C$8:$C$21&amp;$B$8:$B$21,0),3)</f>
        <v>1300</v>
      </c>
      <c r="S8" s="44" t="s">
        <v>79</v>
      </c>
    </row>
    <row r="9" spans="2:19" ht="33.5" x14ac:dyDescent="0.75">
      <c r="B9" s="18">
        <v>45012</v>
      </c>
      <c r="C9" s="17" t="s">
        <v>27</v>
      </c>
      <c r="D9" s="19">
        <f t="shared" ref="D9:D21" si="0">D8+100</f>
        <v>200</v>
      </c>
      <c r="F9" s="45" t="s">
        <v>27</v>
      </c>
      <c r="G9" s="46">
        <f t="array" ref="G9">MAX(IF($C$7:$C$21=F9,$B$7:$B$21))</f>
        <v>45072</v>
      </c>
      <c r="H9" s="47">
        <f t="array" ref="H9">INDEX($B$8:$D$21,MATCH(F9&amp;G9,$C$8:$C$21&amp;$B$8:$B$21,0),3)</f>
        <v>1400</v>
      </c>
    </row>
    <row r="10" spans="2:19" ht="33.5" x14ac:dyDescent="0.75">
      <c r="B10" s="18">
        <v>45017</v>
      </c>
      <c r="C10" s="17" t="s">
        <v>28</v>
      </c>
      <c r="D10" s="19">
        <f t="shared" si="0"/>
        <v>300</v>
      </c>
      <c r="F10" s="45" t="s">
        <v>28</v>
      </c>
      <c r="G10" s="46">
        <f t="array" ref="G10">MAX(IF($C$7:$C$21=F10,$B$7:$B$21))</f>
        <v>45057</v>
      </c>
      <c r="H10" s="47">
        <f t="array" ref="H10">INDEX($B$8:$D$21,MATCH(F10&amp;G10,$C$8:$C$21&amp;$B$8:$B$21,0),3)</f>
        <v>1100</v>
      </c>
      <c r="S10" s="44" t="s">
        <v>80</v>
      </c>
    </row>
    <row r="11" spans="2:19" ht="26" x14ac:dyDescent="0.6">
      <c r="B11" s="18">
        <v>45022</v>
      </c>
      <c r="C11" s="17" t="s">
        <v>29</v>
      </c>
      <c r="D11" s="19">
        <f t="shared" si="0"/>
        <v>400</v>
      </c>
      <c r="S11" s="44" t="s">
        <v>81</v>
      </c>
    </row>
    <row r="12" spans="2:19" ht="23.5" x14ac:dyDescent="0.55000000000000004">
      <c r="B12" s="18">
        <v>45027</v>
      </c>
      <c r="C12" s="17" t="s">
        <v>26</v>
      </c>
      <c r="D12" s="19">
        <f t="shared" si="0"/>
        <v>500</v>
      </c>
    </row>
    <row r="13" spans="2:19" ht="23.5" x14ac:dyDescent="0.55000000000000004">
      <c r="B13" s="18">
        <v>45032</v>
      </c>
      <c r="C13" s="17" t="s">
        <v>27</v>
      </c>
      <c r="D13" s="19">
        <f t="shared" si="0"/>
        <v>600</v>
      </c>
    </row>
    <row r="14" spans="2:19" ht="23.5" x14ac:dyDescent="0.55000000000000004">
      <c r="B14" s="18">
        <v>45037</v>
      </c>
      <c r="C14" s="17" t="s">
        <v>28</v>
      </c>
      <c r="D14" s="19">
        <f t="shared" si="0"/>
        <v>700</v>
      </c>
    </row>
    <row r="15" spans="2:19" ht="23.5" x14ac:dyDescent="0.55000000000000004">
      <c r="B15" s="18">
        <v>45042</v>
      </c>
      <c r="C15" s="17" t="s">
        <v>29</v>
      </c>
      <c r="D15" s="19">
        <f t="shared" si="0"/>
        <v>800</v>
      </c>
    </row>
    <row r="16" spans="2:19" ht="23.5" x14ac:dyDescent="0.55000000000000004">
      <c r="B16" s="18">
        <v>45047</v>
      </c>
      <c r="C16" s="17" t="s">
        <v>26</v>
      </c>
      <c r="D16" s="19">
        <f t="shared" si="0"/>
        <v>900</v>
      </c>
    </row>
    <row r="17" spans="2:4" ht="23.5" x14ac:dyDescent="0.55000000000000004">
      <c r="B17" s="18">
        <v>45052</v>
      </c>
      <c r="C17" s="17" t="s">
        <v>27</v>
      </c>
      <c r="D17" s="19">
        <f t="shared" si="0"/>
        <v>1000</v>
      </c>
    </row>
    <row r="18" spans="2:4" ht="23.5" x14ac:dyDescent="0.55000000000000004">
      <c r="B18" s="18">
        <v>45057</v>
      </c>
      <c r="C18" s="17" t="s">
        <v>28</v>
      </c>
      <c r="D18" s="19">
        <f t="shared" si="0"/>
        <v>1100</v>
      </c>
    </row>
    <row r="19" spans="2:4" ht="23.5" x14ac:dyDescent="0.55000000000000004">
      <c r="B19" s="18">
        <v>45062</v>
      </c>
      <c r="C19" s="17" t="s">
        <v>29</v>
      </c>
      <c r="D19" s="19">
        <f t="shared" si="0"/>
        <v>1200</v>
      </c>
    </row>
    <row r="20" spans="2:4" ht="23.5" x14ac:dyDescent="0.55000000000000004">
      <c r="B20" s="18">
        <v>45067</v>
      </c>
      <c r="C20" s="17" t="s">
        <v>26</v>
      </c>
      <c r="D20" s="19">
        <f t="shared" si="0"/>
        <v>1300</v>
      </c>
    </row>
    <row r="21" spans="2:4" ht="23.5" x14ac:dyDescent="0.55000000000000004">
      <c r="B21" s="18">
        <v>45072</v>
      </c>
      <c r="C21" s="17" t="s">
        <v>27</v>
      </c>
      <c r="D21" s="19">
        <f t="shared" si="0"/>
        <v>1400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EA01-EA33-4D98-B7D0-1D1445B6562C}">
  <dimension ref="B3:Y45"/>
  <sheetViews>
    <sheetView showGridLines="0" workbookViewId="0">
      <selection activeCell="H9" sqref="H9"/>
    </sheetView>
  </sheetViews>
  <sheetFormatPr defaultRowHeight="14.5" x14ac:dyDescent="0.35"/>
  <cols>
    <col min="2" max="2" width="25.81640625" bestFit="1" customWidth="1"/>
    <col min="3" max="3" width="26.08984375" style="1" customWidth="1"/>
    <col min="4" max="4" width="10.08984375" bestFit="1" customWidth="1"/>
    <col min="7" max="7" width="29.453125" customWidth="1"/>
    <col min="8" max="13" width="23.36328125" style="1" customWidth="1"/>
  </cols>
  <sheetData>
    <row r="3" spans="2:25" ht="26" x14ac:dyDescent="0.6">
      <c r="B3" s="2" t="s">
        <v>70</v>
      </c>
      <c r="C3"/>
      <c r="F3" s="1"/>
      <c r="G3" s="1"/>
      <c r="I3"/>
      <c r="J3"/>
      <c r="K3"/>
      <c r="L3"/>
      <c r="M3"/>
    </row>
    <row r="4" spans="2:25" ht="26" x14ac:dyDescent="0.6">
      <c r="B4" s="2" t="s">
        <v>50</v>
      </c>
      <c r="C4"/>
      <c r="F4" s="1"/>
      <c r="G4" s="1"/>
      <c r="I4"/>
      <c r="J4"/>
      <c r="K4"/>
      <c r="L4"/>
      <c r="M4"/>
    </row>
    <row r="5" spans="2:25" ht="26" x14ac:dyDescent="0.6">
      <c r="B5" s="2" t="s">
        <v>51</v>
      </c>
      <c r="Y5" s="44" t="s">
        <v>83</v>
      </c>
    </row>
    <row r="6" spans="2:25" ht="26" x14ac:dyDescent="0.6">
      <c r="H6" s="54" t="s">
        <v>42</v>
      </c>
      <c r="I6" s="55"/>
      <c r="K6" s="54" t="s">
        <v>46</v>
      </c>
      <c r="L6" s="55"/>
      <c r="Y6" s="44" t="s">
        <v>82</v>
      </c>
    </row>
    <row r="7" spans="2:25" ht="26" x14ac:dyDescent="0.6">
      <c r="H7" s="23" t="s">
        <v>44</v>
      </c>
      <c r="I7" s="23" t="s">
        <v>45</v>
      </c>
      <c r="K7" s="23" t="s">
        <v>47</v>
      </c>
      <c r="L7" s="23" t="s">
        <v>48</v>
      </c>
      <c r="Y7" s="44" t="s">
        <v>84</v>
      </c>
    </row>
    <row r="8" spans="2:25" ht="26" x14ac:dyDescent="0.6">
      <c r="B8" s="20" t="s">
        <v>31</v>
      </c>
      <c r="C8" s="22" t="s">
        <v>21</v>
      </c>
      <c r="D8" s="21" t="s">
        <v>89</v>
      </c>
      <c r="G8" s="24" t="s">
        <v>31</v>
      </c>
      <c r="H8" s="23" t="s">
        <v>41</v>
      </c>
      <c r="I8" s="23" t="s">
        <v>43</v>
      </c>
      <c r="J8" s="23" t="s">
        <v>49</v>
      </c>
      <c r="K8" s="23" t="s">
        <v>41</v>
      </c>
      <c r="L8" s="23" t="s">
        <v>43</v>
      </c>
      <c r="M8" s="23" t="s">
        <v>49</v>
      </c>
      <c r="Y8" s="44" t="s">
        <v>85</v>
      </c>
    </row>
    <row r="9" spans="2:25" ht="26" x14ac:dyDescent="0.6">
      <c r="B9" s="25" t="s">
        <v>32</v>
      </c>
      <c r="C9" s="18">
        <v>44927</v>
      </c>
      <c r="D9" s="42">
        <v>85</v>
      </c>
      <c r="G9" s="25" t="s">
        <v>37</v>
      </c>
      <c r="H9" s="29">
        <f>SUMIFS($D$9:$D$45,
$B$9:$B$45,$G9,
$C$9:$C$45,"&gt;=01/01/2023",
$C$9:$C$45,"&lt;=15/01/2023")</f>
        <v>136</v>
      </c>
      <c r="I9" s="29">
        <f>SUMIFS($D$9:$D$45,
$B$9:$B$45,$G9,
$C$9:$C$45,"&gt;=16/01/2023",
$C$9:$C$45,"&lt;=31/01/2023")</f>
        <v>0</v>
      </c>
      <c r="J9" s="30">
        <f>H9+I9</f>
        <v>136</v>
      </c>
      <c r="K9" s="29">
        <f>SUMIFS($D$9:$D$45,
$B$9:$B$45,$G9,
$C$9:$C$45,"&gt;=01/02/2023",
$C$9:$C$45,"&lt;=15/02/2023")</f>
        <v>19</v>
      </c>
      <c r="L9" s="29">
        <f>SUMIFS($D$9:$D$45,
$B$9:$B$45,$G9,
$C$9:$C$45,"&gt;=16/02/2023",
$C$9:$C$45,"&lt;=28/02/2023")</f>
        <v>43</v>
      </c>
      <c r="M9" s="30">
        <f>K9+L9</f>
        <v>62</v>
      </c>
      <c r="Y9" s="44" t="s">
        <v>86</v>
      </c>
    </row>
    <row r="10" spans="2:25" ht="23.5" x14ac:dyDescent="0.55000000000000004">
      <c r="B10" s="25" t="s">
        <v>37</v>
      </c>
      <c r="C10" s="18">
        <v>44928</v>
      </c>
      <c r="D10" s="42">
        <v>37</v>
      </c>
      <c r="G10" s="25" t="s">
        <v>35</v>
      </c>
      <c r="H10" s="29">
        <f t="shared" ref="H10:H16" si="0">SUMIFS($D$9:$D$45,
$B$9:$B$45,$G10,
$C$9:$C$45,"&gt;=01/01/2023",
$C$9:$C$45,"&lt;=15/01/2023")</f>
        <v>0</v>
      </c>
      <c r="I10" s="29">
        <f>SUMIFS($D$9:$D$45,
$B$9:$B$45,$G10,
$C$9:$C$45,"&gt;=16/01/2023",
$C$9:$C$45,"&lt;=31/01/2023")</f>
        <v>13</v>
      </c>
      <c r="J10" s="30">
        <f t="shared" ref="J10:J16" si="1">H10+I10</f>
        <v>13</v>
      </c>
      <c r="K10" s="29">
        <f>SUMIFS($D$9:$D$45,
$B$9:$B$45,$G10,
$C$9:$C$45,"&gt;=01/02/2023",
$C$9:$C$45,"&lt;=15/02/2023")</f>
        <v>0</v>
      </c>
      <c r="L10" s="29">
        <f t="shared" ref="L10:L16" si="2">SUMIFS($D$9:$D$45,
$B$9:$B$45,$G10,
$C$9:$C$45,"&gt;=16/02/2023",
$C$9:$C$45,"&lt;=28/02/2023")</f>
        <v>91</v>
      </c>
      <c r="M10" s="30">
        <f t="shared" ref="M10:M16" si="3">K10+L10</f>
        <v>91</v>
      </c>
    </row>
    <row r="11" spans="2:25" ht="23.5" x14ac:dyDescent="0.55000000000000004">
      <c r="B11" s="25" t="s">
        <v>33</v>
      </c>
      <c r="C11" s="18">
        <v>44929</v>
      </c>
      <c r="D11" s="42">
        <v>62</v>
      </c>
      <c r="G11" s="25" t="s">
        <v>38</v>
      </c>
      <c r="H11" s="29">
        <f t="shared" si="0"/>
        <v>0</v>
      </c>
      <c r="I11" s="29">
        <f t="shared" ref="I11:I16" si="4">SUMIFS($D$9:$D$45,
$B$9:$B$45,$G11,
$C$9:$C$45,"&gt;=16/01/2023",
$C$9:$C$45,"&lt;=31/01/2023")</f>
        <v>0</v>
      </c>
      <c r="J11" s="30">
        <f t="shared" si="1"/>
        <v>0</v>
      </c>
      <c r="K11" s="29">
        <f t="shared" ref="K11:K16" si="5">SUMIFS($D$9:$D$45,
$B$9:$B$45,$G11,
$C$9:$C$45,"&gt;=01/02/2023",
$C$9:$C$45,"&lt;=15/02/2023")</f>
        <v>0</v>
      </c>
      <c r="L11" s="29">
        <f t="shared" si="2"/>
        <v>0</v>
      </c>
      <c r="M11" s="30">
        <f t="shared" si="3"/>
        <v>0</v>
      </c>
    </row>
    <row r="12" spans="2:25" ht="23.5" x14ac:dyDescent="0.55000000000000004">
      <c r="B12" s="25" t="s">
        <v>33</v>
      </c>
      <c r="C12" s="18">
        <v>44933</v>
      </c>
      <c r="D12" s="42">
        <v>30</v>
      </c>
      <c r="G12" s="25" t="s">
        <v>39</v>
      </c>
      <c r="H12" s="29">
        <f t="shared" si="0"/>
        <v>0</v>
      </c>
      <c r="I12" s="29">
        <f t="shared" si="4"/>
        <v>0</v>
      </c>
      <c r="J12" s="30">
        <f t="shared" si="1"/>
        <v>0</v>
      </c>
      <c r="K12" s="29">
        <f>SUMIFS($D$9:$D$45,
$B$9:$B$45,$G12,
$C$9:$C$45,"&gt;=01/02/2023",
$C$9:$C$45,"&lt;=15/02/2023")</f>
        <v>37</v>
      </c>
      <c r="L12" s="29">
        <f>SUMIFS($D$9:$D$45,
$B$9:$B$45,$G12,
$C$9:$C$45,"&gt;=16/02/2023",
$C$9:$C$45,"&lt;=28/02/2023")</f>
        <v>0</v>
      </c>
      <c r="M12" s="30">
        <f t="shared" si="3"/>
        <v>37</v>
      </c>
    </row>
    <row r="13" spans="2:25" ht="23.5" x14ac:dyDescent="0.55000000000000004">
      <c r="B13" s="25" t="s">
        <v>33</v>
      </c>
      <c r="C13" s="18">
        <v>44934</v>
      </c>
      <c r="D13" s="42">
        <v>90</v>
      </c>
      <c r="G13" s="25" t="s">
        <v>33</v>
      </c>
      <c r="H13" s="29">
        <f t="shared" si="0"/>
        <v>182</v>
      </c>
      <c r="I13" s="29">
        <f t="shared" si="4"/>
        <v>0</v>
      </c>
      <c r="J13" s="30">
        <f t="shared" si="1"/>
        <v>182</v>
      </c>
      <c r="K13" s="29">
        <f t="shared" si="5"/>
        <v>74</v>
      </c>
      <c r="L13" s="29">
        <f t="shared" si="2"/>
        <v>0</v>
      </c>
      <c r="M13" s="30">
        <f t="shared" si="3"/>
        <v>74</v>
      </c>
    </row>
    <row r="14" spans="2:25" ht="23.5" x14ac:dyDescent="0.55000000000000004">
      <c r="B14" s="25" t="s">
        <v>34</v>
      </c>
      <c r="C14" s="18">
        <v>44934</v>
      </c>
      <c r="D14" s="42">
        <v>13</v>
      </c>
      <c r="G14" s="25" t="s">
        <v>32</v>
      </c>
      <c r="H14" s="29">
        <f t="shared" si="0"/>
        <v>85</v>
      </c>
      <c r="I14" s="29">
        <f t="shared" si="4"/>
        <v>0</v>
      </c>
      <c r="J14" s="30">
        <f t="shared" si="1"/>
        <v>85</v>
      </c>
      <c r="K14" s="29">
        <f t="shared" si="5"/>
        <v>0</v>
      </c>
      <c r="L14" s="29">
        <f t="shared" si="2"/>
        <v>43</v>
      </c>
      <c r="M14" s="30">
        <f t="shared" si="3"/>
        <v>43</v>
      </c>
    </row>
    <row r="15" spans="2:25" ht="23.5" x14ac:dyDescent="0.55000000000000004">
      <c r="B15" s="25" t="s">
        <v>34</v>
      </c>
      <c r="C15" s="18">
        <v>44935</v>
      </c>
      <c r="D15" s="42">
        <v>88</v>
      </c>
      <c r="G15" s="25" t="s">
        <v>34</v>
      </c>
      <c r="H15" s="29">
        <f t="shared" si="0"/>
        <v>101</v>
      </c>
      <c r="I15" s="29">
        <f t="shared" si="4"/>
        <v>0</v>
      </c>
      <c r="J15" s="30">
        <f t="shared" si="1"/>
        <v>101</v>
      </c>
      <c r="K15" s="29">
        <f t="shared" si="5"/>
        <v>67</v>
      </c>
      <c r="L15" s="29">
        <f t="shared" si="2"/>
        <v>0</v>
      </c>
      <c r="M15" s="30">
        <f t="shared" si="3"/>
        <v>67</v>
      </c>
    </row>
    <row r="16" spans="2:25" ht="23.5" x14ac:dyDescent="0.55000000000000004">
      <c r="B16" s="25" t="s">
        <v>37</v>
      </c>
      <c r="C16" s="18">
        <v>44937</v>
      </c>
      <c r="D16" s="42">
        <v>99</v>
      </c>
      <c r="G16" s="25" t="s">
        <v>36</v>
      </c>
      <c r="H16" s="29">
        <f t="shared" si="0"/>
        <v>0</v>
      </c>
      <c r="I16" s="29">
        <f t="shared" si="4"/>
        <v>0</v>
      </c>
      <c r="J16" s="30">
        <f t="shared" si="1"/>
        <v>0</v>
      </c>
      <c r="K16" s="29">
        <f t="shared" si="5"/>
        <v>0</v>
      </c>
      <c r="L16" s="29">
        <f t="shared" si="2"/>
        <v>0</v>
      </c>
      <c r="M16" s="30">
        <f t="shared" si="3"/>
        <v>0</v>
      </c>
    </row>
    <row r="17" spans="2:13" ht="23.5" x14ac:dyDescent="0.55000000000000004">
      <c r="B17" s="25" t="s">
        <v>35</v>
      </c>
      <c r="C17" s="18">
        <v>44944</v>
      </c>
      <c r="D17" s="42">
        <v>13</v>
      </c>
      <c r="G17" s="23" t="s">
        <v>49</v>
      </c>
      <c r="H17" s="26">
        <f>SUM(H9:H16)</f>
        <v>504</v>
      </c>
      <c r="I17" s="26">
        <f t="shared" ref="I17:L17" si="6">SUM(I9:I16)</f>
        <v>13</v>
      </c>
      <c r="J17" s="26">
        <f t="shared" si="6"/>
        <v>517</v>
      </c>
      <c r="K17" s="26">
        <f t="shared" si="6"/>
        <v>197</v>
      </c>
      <c r="L17" s="26">
        <f t="shared" si="6"/>
        <v>177</v>
      </c>
      <c r="M17" s="26">
        <f>SUM(M9:M16)</f>
        <v>374</v>
      </c>
    </row>
    <row r="18" spans="2:13" ht="23.5" x14ac:dyDescent="0.55000000000000004">
      <c r="B18" s="25" t="s">
        <v>34</v>
      </c>
      <c r="C18" s="18">
        <v>44958</v>
      </c>
      <c r="D18" s="42">
        <v>57</v>
      </c>
      <c r="G18" s="24"/>
      <c r="H18" s="27"/>
    </row>
    <row r="19" spans="2:13" ht="23.5" x14ac:dyDescent="0.55000000000000004">
      <c r="B19" s="25" t="s">
        <v>34</v>
      </c>
      <c r="C19" s="18">
        <v>44962</v>
      </c>
      <c r="D19" s="42">
        <v>10</v>
      </c>
      <c r="H19" s="27"/>
    </row>
    <row r="20" spans="2:13" ht="23.5" x14ac:dyDescent="0.55000000000000004">
      <c r="B20" s="25" t="s">
        <v>33</v>
      </c>
      <c r="C20" s="18">
        <v>44968</v>
      </c>
      <c r="D20" s="42">
        <v>74</v>
      </c>
      <c r="H20" s="54" t="s">
        <v>42</v>
      </c>
      <c r="I20" s="55"/>
      <c r="K20" s="54" t="s">
        <v>46</v>
      </c>
      <c r="L20" s="55"/>
    </row>
    <row r="21" spans="2:13" ht="23.5" x14ac:dyDescent="0.55000000000000004">
      <c r="B21" s="25" t="s">
        <v>37</v>
      </c>
      <c r="C21" s="18">
        <v>44969</v>
      </c>
      <c r="D21" s="42">
        <v>19</v>
      </c>
      <c r="H21" s="23" t="s">
        <v>44</v>
      </c>
      <c r="I21" s="23" t="s">
        <v>45</v>
      </c>
      <c r="K21" s="23" t="s">
        <v>47</v>
      </c>
      <c r="L21" s="23" t="s">
        <v>48</v>
      </c>
    </row>
    <row r="22" spans="2:13" ht="23.5" x14ac:dyDescent="0.55000000000000004">
      <c r="B22" s="25" t="s">
        <v>39</v>
      </c>
      <c r="C22" s="18">
        <v>44972</v>
      </c>
      <c r="D22" s="42">
        <v>37</v>
      </c>
      <c r="G22" s="24" t="s">
        <v>31</v>
      </c>
      <c r="H22" s="23" t="s">
        <v>41</v>
      </c>
      <c r="I22" s="23" t="s">
        <v>43</v>
      </c>
      <c r="J22" s="23" t="s">
        <v>49</v>
      </c>
      <c r="K22" s="23" t="s">
        <v>41</v>
      </c>
      <c r="L22" s="23" t="s">
        <v>43</v>
      </c>
      <c r="M22" s="23" t="s">
        <v>49</v>
      </c>
    </row>
    <row r="23" spans="2:13" ht="23.5" x14ac:dyDescent="0.55000000000000004">
      <c r="B23" s="25" t="s">
        <v>37</v>
      </c>
      <c r="C23" s="18">
        <v>44975</v>
      </c>
      <c r="D23" s="42">
        <v>43</v>
      </c>
      <c r="G23" s="24" t="s">
        <v>37</v>
      </c>
      <c r="H23" s="48">
        <f>H9/H$17</f>
        <v>0.26984126984126983</v>
      </c>
      <c r="I23" s="48">
        <f t="shared" ref="I23:I30" si="7">I9/I$17</f>
        <v>0</v>
      </c>
      <c r="J23" s="31">
        <f>J9/J$17</f>
        <v>0.26305609284332687</v>
      </c>
      <c r="K23" s="48">
        <f>K9/K$17</f>
        <v>9.6446700507614211E-2</v>
      </c>
      <c r="L23" s="48">
        <f t="shared" ref="L23:L30" si="8">L9/L$17</f>
        <v>0.24293785310734464</v>
      </c>
      <c r="M23" s="31">
        <f t="shared" ref="M23" si="9">M9/M$17</f>
        <v>0.16577540106951871</v>
      </c>
    </row>
    <row r="24" spans="2:13" ht="23.5" x14ac:dyDescent="0.55000000000000004">
      <c r="B24" s="25" t="s">
        <v>35</v>
      </c>
      <c r="C24" s="18">
        <v>44979</v>
      </c>
      <c r="D24" s="42">
        <v>91</v>
      </c>
      <c r="G24" s="24" t="s">
        <v>35</v>
      </c>
      <c r="H24" s="48">
        <f t="shared" ref="H24" si="10">H10/H$17</f>
        <v>0</v>
      </c>
      <c r="I24" s="48">
        <f>I10/I$17</f>
        <v>1</v>
      </c>
      <c r="J24" s="31">
        <f>J10/J$17</f>
        <v>2.5145067698259187E-2</v>
      </c>
      <c r="K24" s="48">
        <f t="shared" ref="K24" si="11">K10/K$17</f>
        <v>0</v>
      </c>
      <c r="L24" s="48">
        <f t="shared" si="8"/>
        <v>0.51412429378531077</v>
      </c>
      <c r="M24" s="31">
        <f t="shared" ref="M24" si="12">M10/M$17</f>
        <v>0.24331550802139038</v>
      </c>
    </row>
    <row r="25" spans="2:13" ht="23.5" x14ac:dyDescent="0.55000000000000004">
      <c r="B25" s="25" t="s">
        <v>32</v>
      </c>
      <c r="C25" s="18">
        <v>44983</v>
      </c>
      <c r="D25" s="42">
        <v>43</v>
      </c>
      <c r="G25" s="24" t="s">
        <v>38</v>
      </c>
      <c r="H25" s="48">
        <f t="shared" ref="H25" si="13">H11/H$17</f>
        <v>0</v>
      </c>
      <c r="I25" s="48">
        <f>I11/I$17</f>
        <v>0</v>
      </c>
      <c r="J25" s="31">
        <f t="shared" ref="J25:K25" si="14">J11/J$17</f>
        <v>0</v>
      </c>
      <c r="K25" s="48">
        <f t="shared" si="14"/>
        <v>0</v>
      </c>
      <c r="L25" s="48">
        <f t="shared" si="8"/>
        <v>0</v>
      </c>
      <c r="M25" s="31">
        <f t="shared" ref="M25" si="15">M11/M$17</f>
        <v>0</v>
      </c>
    </row>
    <row r="26" spans="2:13" ht="23.5" x14ac:dyDescent="0.55000000000000004">
      <c r="B26" s="25" t="s">
        <v>34</v>
      </c>
      <c r="C26" s="18">
        <v>44986</v>
      </c>
      <c r="D26" s="42">
        <v>14</v>
      </c>
      <c r="G26" s="24" t="s">
        <v>39</v>
      </c>
      <c r="H26" s="48">
        <f t="shared" ref="H26" si="16">H12/H$17</f>
        <v>0</v>
      </c>
      <c r="I26" s="48">
        <f>I12/I$17</f>
        <v>0</v>
      </c>
      <c r="J26" s="31">
        <f t="shared" ref="J26:K26" si="17">J12/J$17</f>
        <v>0</v>
      </c>
      <c r="K26" s="48">
        <f t="shared" si="17"/>
        <v>0.18781725888324874</v>
      </c>
      <c r="L26" s="48">
        <f t="shared" si="8"/>
        <v>0</v>
      </c>
      <c r="M26" s="31">
        <f t="shared" ref="M26" si="18">M12/M$17</f>
        <v>9.8930481283422467E-2</v>
      </c>
    </row>
    <row r="27" spans="2:13" ht="23.5" x14ac:dyDescent="0.55000000000000004">
      <c r="B27" s="25" t="s">
        <v>35</v>
      </c>
      <c r="C27" s="18">
        <v>44989</v>
      </c>
      <c r="D27" s="42">
        <v>67</v>
      </c>
      <c r="G27" s="24" t="s">
        <v>33</v>
      </c>
      <c r="H27" s="48">
        <f t="shared" ref="H27" si="19">H13/H$17</f>
        <v>0.3611111111111111</v>
      </c>
      <c r="I27" s="48">
        <f>I13/I$17</f>
        <v>0</v>
      </c>
      <c r="J27" s="31">
        <f t="shared" ref="J27:K27" si="20">J13/J$17</f>
        <v>0.3520309477756286</v>
      </c>
      <c r="K27" s="48">
        <f t="shared" si="20"/>
        <v>0.37563451776649748</v>
      </c>
      <c r="L27" s="48">
        <f t="shared" si="8"/>
        <v>0</v>
      </c>
      <c r="M27" s="31">
        <f t="shared" ref="M27" si="21">M13/M$17</f>
        <v>0.19786096256684493</v>
      </c>
    </row>
    <row r="28" spans="2:13" ht="23.5" x14ac:dyDescent="0.55000000000000004">
      <c r="B28" s="25" t="s">
        <v>36</v>
      </c>
      <c r="C28" s="18">
        <v>44991</v>
      </c>
      <c r="D28" s="42">
        <v>28</v>
      </c>
      <c r="G28" s="24" t="s">
        <v>32</v>
      </c>
      <c r="H28" s="48">
        <f t="shared" ref="H28" si="22">H14/H$17</f>
        <v>0.16865079365079366</v>
      </c>
      <c r="I28" s="48">
        <f t="shared" si="7"/>
        <v>0</v>
      </c>
      <c r="J28" s="31">
        <f t="shared" ref="J28:K28" si="23">J14/J$17</f>
        <v>0.16441005802707931</v>
      </c>
      <c r="K28" s="48">
        <f t="shared" si="23"/>
        <v>0</v>
      </c>
      <c r="L28" s="48">
        <f t="shared" si="8"/>
        <v>0.24293785310734464</v>
      </c>
      <c r="M28" s="31">
        <f t="shared" ref="M28" si="24">M14/M$17</f>
        <v>0.11497326203208556</v>
      </c>
    </row>
    <row r="29" spans="2:13" ht="23.5" x14ac:dyDescent="0.55000000000000004">
      <c r="B29" s="25" t="s">
        <v>36</v>
      </c>
      <c r="C29" s="18">
        <v>44993</v>
      </c>
      <c r="D29" s="42">
        <v>77</v>
      </c>
      <c r="G29" s="24" t="s">
        <v>34</v>
      </c>
      <c r="H29" s="48">
        <f t="shared" ref="H29" si="25">H15/H$17</f>
        <v>0.20039682539682541</v>
      </c>
      <c r="I29" s="48">
        <f t="shared" si="7"/>
        <v>0</v>
      </c>
      <c r="J29" s="31">
        <f t="shared" ref="J29:K29" si="26">J15/J$17</f>
        <v>0.195357833655706</v>
      </c>
      <c r="K29" s="48">
        <f t="shared" si="26"/>
        <v>0.34010152284263961</v>
      </c>
      <c r="L29" s="48">
        <f t="shared" si="8"/>
        <v>0</v>
      </c>
      <c r="M29" s="31">
        <f t="shared" ref="M29" si="27">M15/M$17</f>
        <v>0.17914438502673796</v>
      </c>
    </row>
    <row r="30" spans="2:13" ht="23.5" x14ac:dyDescent="0.55000000000000004">
      <c r="B30" s="25" t="s">
        <v>39</v>
      </c>
      <c r="C30" s="18">
        <v>44993</v>
      </c>
      <c r="D30" s="42">
        <v>38</v>
      </c>
      <c r="G30" s="24" t="s">
        <v>36</v>
      </c>
      <c r="H30" s="48">
        <f t="shared" ref="H30" si="28">H16/H$17</f>
        <v>0</v>
      </c>
      <c r="I30" s="48">
        <f t="shared" si="7"/>
        <v>0</v>
      </c>
      <c r="J30" s="31">
        <f t="shared" ref="J30:K30" si="29">J16/J$17</f>
        <v>0</v>
      </c>
      <c r="K30" s="48">
        <f t="shared" si="29"/>
        <v>0</v>
      </c>
      <c r="L30" s="48">
        <f t="shared" si="8"/>
        <v>0</v>
      </c>
      <c r="M30" s="31">
        <f t="shared" ref="M30" si="30">M16/M$17</f>
        <v>0</v>
      </c>
    </row>
    <row r="31" spans="2:13" ht="23.5" x14ac:dyDescent="0.55000000000000004">
      <c r="B31" s="25" t="s">
        <v>33</v>
      </c>
      <c r="C31" s="18">
        <v>44997</v>
      </c>
      <c r="D31" s="42">
        <v>64</v>
      </c>
      <c r="G31" s="23" t="s">
        <v>49</v>
      </c>
      <c r="H31" s="28">
        <f>SUM(H23:H30)</f>
        <v>1</v>
      </c>
      <c r="I31" s="28">
        <f>SUM(I23:I30)</f>
        <v>1</v>
      </c>
      <c r="J31" s="28">
        <f>SUM(J23:J30)</f>
        <v>1</v>
      </c>
      <c r="K31" s="28">
        <f t="shared" ref="K31" si="31">SUM(K23:K30)</f>
        <v>1</v>
      </c>
      <c r="L31" s="28">
        <f t="shared" ref="L31" si="32">SUM(L23:L30)</f>
        <v>1</v>
      </c>
      <c r="M31" s="28">
        <f>SUM(M23:M30)</f>
        <v>1</v>
      </c>
    </row>
    <row r="32" spans="2:13" ht="23.5" x14ac:dyDescent="0.55000000000000004">
      <c r="B32" s="25" t="s">
        <v>38</v>
      </c>
      <c r="C32" s="18">
        <v>44998</v>
      </c>
      <c r="D32" s="42">
        <v>14</v>
      </c>
    </row>
    <row r="33" spans="2:4" ht="23.5" x14ac:dyDescent="0.55000000000000004">
      <c r="B33" s="25" t="s">
        <v>39</v>
      </c>
      <c r="C33" s="18">
        <v>45001</v>
      </c>
      <c r="D33" s="42">
        <v>80</v>
      </c>
    </row>
    <row r="34" spans="2:4" ht="23.5" x14ac:dyDescent="0.55000000000000004">
      <c r="B34" s="25" t="s">
        <v>35</v>
      </c>
      <c r="C34" s="18">
        <v>45001</v>
      </c>
      <c r="D34" s="42">
        <v>55</v>
      </c>
    </row>
    <row r="35" spans="2:4" ht="23.5" x14ac:dyDescent="0.55000000000000004">
      <c r="B35" s="25" t="s">
        <v>33</v>
      </c>
      <c r="C35" s="18">
        <v>45004</v>
      </c>
      <c r="D35" s="42">
        <v>55</v>
      </c>
    </row>
    <row r="36" spans="2:4" ht="23.5" x14ac:dyDescent="0.55000000000000004">
      <c r="B36" s="25" t="s">
        <v>32</v>
      </c>
      <c r="C36" s="18">
        <v>45005</v>
      </c>
      <c r="D36" s="42">
        <v>43</v>
      </c>
    </row>
    <row r="37" spans="2:4" ht="23.5" x14ac:dyDescent="0.55000000000000004">
      <c r="B37" s="25" t="s">
        <v>35</v>
      </c>
      <c r="C37" s="18">
        <v>45005</v>
      </c>
      <c r="D37" s="42">
        <v>79</v>
      </c>
    </row>
    <row r="38" spans="2:4" ht="23.5" x14ac:dyDescent="0.55000000000000004">
      <c r="B38" s="25" t="s">
        <v>36</v>
      </c>
      <c r="C38" s="18">
        <v>45006</v>
      </c>
      <c r="D38" s="42">
        <v>44</v>
      </c>
    </row>
    <row r="39" spans="2:4" ht="23.5" x14ac:dyDescent="0.55000000000000004">
      <c r="B39" s="25" t="s">
        <v>32</v>
      </c>
      <c r="C39" s="18">
        <v>45006</v>
      </c>
      <c r="D39" s="42">
        <v>54</v>
      </c>
    </row>
    <row r="40" spans="2:4" ht="23.5" x14ac:dyDescent="0.55000000000000004">
      <c r="B40" s="25" t="s">
        <v>38</v>
      </c>
      <c r="C40" s="18">
        <v>45007</v>
      </c>
      <c r="D40" s="42">
        <v>28</v>
      </c>
    </row>
    <row r="41" spans="2:4" ht="23.5" x14ac:dyDescent="0.55000000000000004">
      <c r="B41" s="25" t="s">
        <v>37</v>
      </c>
      <c r="C41" s="18">
        <v>45010</v>
      </c>
      <c r="D41" s="42">
        <v>79</v>
      </c>
    </row>
    <row r="42" spans="2:4" ht="23.5" x14ac:dyDescent="0.55000000000000004">
      <c r="B42" s="25" t="s">
        <v>33</v>
      </c>
      <c r="C42" s="18">
        <v>45011</v>
      </c>
      <c r="D42" s="42">
        <v>61</v>
      </c>
    </row>
    <row r="43" spans="2:4" ht="23.5" x14ac:dyDescent="0.55000000000000004">
      <c r="B43" s="25" t="s">
        <v>32</v>
      </c>
      <c r="C43" s="18">
        <v>45014</v>
      </c>
      <c r="D43" s="42">
        <v>9</v>
      </c>
    </row>
    <row r="44" spans="2:4" ht="23.5" x14ac:dyDescent="0.55000000000000004">
      <c r="B44" s="25" t="s">
        <v>34</v>
      </c>
      <c r="C44" s="18">
        <v>45014</v>
      </c>
      <c r="D44" s="42">
        <v>93</v>
      </c>
    </row>
    <row r="45" spans="2:4" ht="23.5" x14ac:dyDescent="0.55000000000000004">
      <c r="B45" s="25" t="s">
        <v>38</v>
      </c>
      <c r="C45" s="18">
        <v>45015</v>
      </c>
      <c r="D45" s="42">
        <v>76</v>
      </c>
    </row>
  </sheetData>
  <mergeCells count="4">
    <mergeCell ref="H6:I6"/>
    <mergeCell ref="K6:L6"/>
    <mergeCell ref="H20:I20"/>
    <mergeCell ref="K20:L20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7A31-4CF6-435E-B370-06C109E3E111}">
  <dimension ref="A3:U52"/>
  <sheetViews>
    <sheetView showGridLines="0" topLeftCell="A3" workbookViewId="0">
      <selection activeCell="A15" sqref="A15"/>
    </sheetView>
  </sheetViews>
  <sheetFormatPr defaultRowHeight="14.5" x14ac:dyDescent="0.35"/>
  <cols>
    <col min="1" max="1" width="37.1796875" bestFit="1" customWidth="1"/>
    <col min="2" max="2" width="53.08984375" customWidth="1"/>
    <col min="3" max="3" width="33.08984375" bestFit="1" customWidth="1"/>
    <col min="4" max="4" width="25.6328125" bestFit="1" customWidth="1"/>
    <col min="5" max="5" width="66.1796875" customWidth="1"/>
    <col min="6" max="6" width="8.08984375" customWidth="1"/>
    <col min="7" max="7" width="35.1796875" customWidth="1"/>
    <col min="8" max="8" width="34.36328125" bestFit="1" customWidth="1"/>
    <col min="9" max="9" width="25.6328125" bestFit="1" customWidth="1"/>
  </cols>
  <sheetData>
    <row r="3" spans="1:21" ht="36" x14ac:dyDescent="0.8">
      <c r="B3" s="40" t="s">
        <v>61</v>
      </c>
    </row>
    <row r="4" spans="1:21" ht="26" x14ac:dyDescent="0.6">
      <c r="U4" s="44" t="s">
        <v>83</v>
      </c>
    </row>
    <row r="5" spans="1:21" ht="26" x14ac:dyDescent="0.6">
      <c r="B5" s="41" t="s">
        <v>71</v>
      </c>
      <c r="U5" s="44" t="s">
        <v>87</v>
      </c>
    </row>
    <row r="6" spans="1:21" ht="26" x14ac:dyDescent="0.6">
      <c r="B6" s="41" t="s">
        <v>62</v>
      </c>
      <c r="U6" s="44" t="s">
        <v>88</v>
      </c>
    </row>
    <row r="7" spans="1:21" ht="18.5" x14ac:dyDescent="0.45">
      <c r="B7" s="41" t="s">
        <v>63</v>
      </c>
    </row>
    <row r="12" spans="1:21" ht="18.5" x14ac:dyDescent="0.45">
      <c r="G12" s="20" t="s">
        <v>31</v>
      </c>
      <c r="H12" s="20" t="s">
        <v>17</v>
      </c>
    </row>
    <row r="13" spans="1:21" ht="31" x14ac:dyDescent="0.7">
      <c r="G13" s="51" t="s">
        <v>32</v>
      </c>
      <c r="H13" s="51" t="s">
        <v>56</v>
      </c>
    </row>
    <row r="15" spans="1:21" ht="18.5" x14ac:dyDescent="0.45">
      <c r="A15" s="20" t="s">
        <v>90</v>
      </c>
      <c r="B15" s="20" t="s">
        <v>31</v>
      </c>
      <c r="C15" s="20" t="s">
        <v>17</v>
      </c>
      <c r="D15" s="20" t="s">
        <v>52</v>
      </c>
      <c r="G15" s="20" t="s">
        <v>31</v>
      </c>
      <c r="H15" s="20" t="s">
        <v>17</v>
      </c>
      <c r="I15" s="20" t="s">
        <v>52</v>
      </c>
    </row>
    <row r="16" spans="1:21" ht="31" x14ac:dyDescent="0.7">
      <c r="A16" s="6" t="str">
        <f>B16&amp;COUNTIF($E$16:E16,E16)</f>
        <v>Leonardo Almeida1</v>
      </c>
      <c r="B16" s="51" t="s">
        <v>32</v>
      </c>
      <c r="C16" s="51" t="s">
        <v>59</v>
      </c>
      <c r="D16" s="52">
        <v>269.97000000000003</v>
      </c>
      <c r="E16" s="2" t="str">
        <f>B16&amp;C16</f>
        <v>Leonardo AlmeidaSapato Social</v>
      </c>
      <c r="G16" s="49" t="str">
        <f t="array" ref="G16">IFERROR(INDEX($A$15:$D$52,
MATCH($G$13&amp;ROW(A1)&amp;$G$13&amp;$H$13,
$A$15:$A$52&amp;$B$15:$B$52&amp;$C$15:$C$52,0),
COLUMN(B1)),"")</f>
        <v>Leonardo Almeida</v>
      </c>
      <c r="H16" s="49" t="str">
        <f t="array" ref="H16">IFERROR(INDEX($A$15:$D$52,
MATCH($G$13&amp;ROW(B1)&amp;$G$13&amp;$H$13,
$A$15:$A$52&amp;$B$15:$B$52&amp;$C$15:$C$52,0),
COLUMN(C1)),"")</f>
        <v>Jaqueta Masculina Preta</v>
      </c>
      <c r="I16" s="50">
        <f t="array" ref="I16">IFERROR(INDEX($A$15:$D$52,
MATCH($G$13&amp;ROW(C1)&amp;$G$13&amp;$H$13,
$A$15:$A$52&amp;$B$15:$B$52&amp;$C$15:$C$52,0),
COLUMN(D1)),"")</f>
        <v>146.13999999999999</v>
      </c>
    </row>
    <row r="17" spans="1:9" ht="31" x14ac:dyDescent="0.7">
      <c r="A17" s="6" t="str">
        <f>B17&amp;COUNTIF($E$16:E17,E17)</f>
        <v>Eliane Moreira1</v>
      </c>
      <c r="B17" s="51" t="s">
        <v>33</v>
      </c>
      <c r="C17" s="51" t="s">
        <v>57</v>
      </c>
      <c r="D17" s="52">
        <v>349.95</v>
      </c>
      <c r="E17" s="2" t="str">
        <f t="shared" ref="E17:E52" si="0">B17&amp;C17</f>
        <v>Eliane MoreiraBolsa de Trabalho</v>
      </c>
      <c r="G17" s="49" t="str">
        <f t="array" ref="G17">IFERROR(INDEX($A$15:$D$52,
MATCH($G$13&amp;ROW(A2)&amp;$G$13&amp;$H$13,
$A$15:$A$52&amp;$B$15:$B$52&amp;$C$15:$C$52,0),
COLUMN(B2)),"")</f>
        <v>Leonardo Almeida</v>
      </c>
      <c r="H17" s="49" t="str">
        <f t="array" ref="H17">IFERROR(INDEX($A$15:$D$52,
MATCH($G$13&amp;ROW(B2)&amp;$G$13&amp;$H$13,
$A$15:$A$52&amp;$B$15:$B$52&amp;$C$15:$C$52,0),
COLUMN(C2)),"")</f>
        <v>Jaqueta Masculina Preta</v>
      </c>
      <c r="I17" s="50">
        <f t="array" ref="I17">IFERROR(INDEX($A$15:$D$52,
MATCH($G$13&amp;ROW(C2)&amp;$G$13&amp;$H$13,
$A$15:$A$52&amp;$B$15:$B$52&amp;$C$15:$C$52,0),
COLUMN(D2)),"")</f>
        <v>752.5</v>
      </c>
    </row>
    <row r="18" spans="1:9" ht="31" x14ac:dyDescent="0.7">
      <c r="A18" s="6" t="str">
        <f>B18&amp;COUNTIF($E$16:E18,E18)</f>
        <v>Nicolas Pereira1</v>
      </c>
      <c r="B18" s="51" t="s">
        <v>34</v>
      </c>
      <c r="C18" s="51" t="s">
        <v>54</v>
      </c>
      <c r="D18" s="52">
        <v>153.4</v>
      </c>
      <c r="E18" s="2" t="str">
        <f t="shared" si="0"/>
        <v>Nicolas PereiraCamisa Masculina</v>
      </c>
      <c r="G18" s="49" t="str">
        <f t="array" ref="G18">IFERROR(INDEX($A$15:$D$52,
MATCH($G$13&amp;ROW(A3)&amp;$G$13&amp;$H$13,
$A$15:$A$52&amp;$B$15:$B$52&amp;$C$15:$C$52,0),
COLUMN(B3)),"")</f>
        <v/>
      </c>
      <c r="H18" s="49" t="str">
        <f t="array" ref="H18">IFERROR(INDEX($A$15:$D$52,
MATCH($G$13&amp;ROW(B3)&amp;$G$13&amp;$H$13,
$A$15:$A$52&amp;$B$15:$B$52&amp;$C$15:$C$52,0),
COLUMN(C3)),"")</f>
        <v/>
      </c>
      <c r="I18" s="50" t="str">
        <f t="array" ref="I18">IFERROR(INDEX($A$15:$D$52,
MATCH($G$13&amp;ROW(C3)&amp;$G$13&amp;$H$13,
$A$15:$A$52&amp;$B$15:$B$52&amp;$C$15:$C$52,0),
COLUMN(D3)),"")</f>
        <v/>
      </c>
    </row>
    <row r="19" spans="1:9" ht="31" x14ac:dyDescent="0.7">
      <c r="A19" s="6" t="str">
        <f>B19&amp;COUNTIF($E$16:E19,E19)</f>
        <v>Leonardo Almeida2</v>
      </c>
      <c r="B19" s="51" t="s">
        <v>32</v>
      </c>
      <c r="C19" s="51" t="s">
        <v>59</v>
      </c>
      <c r="D19" s="52">
        <v>1337.04</v>
      </c>
      <c r="E19" s="2" t="str">
        <f>B19&amp;C19</f>
        <v>Leonardo AlmeidaSapato Social</v>
      </c>
      <c r="G19" s="49" t="str">
        <f t="array" ref="G19">IFERROR(INDEX($A$15:$D$52,
MATCH($G$13&amp;ROW(A4)&amp;$G$13&amp;$H$13,
$A$15:$A$52&amp;$B$15:$B$52&amp;$C$15:$C$52,0),
COLUMN(B4)),"")</f>
        <v/>
      </c>
      <c r="H19" s="49" t="str">
        <f t="array" ref="H19">IFERROR(INDEX($A$15:$D$52,
MATCH($G$13&amp;ROW(B4)&amp;$G$13&amp;$H$13,
$A$15:$A$52&amp;$B$15:$B$52&amp;$C$15:$C$52,0),
COLUMN(C4)),"")</f>
        <v/>
      </c>
      <c r="I19" s="50" t="str">
        <f t="array" ref="I19">IFERROR(INDEX($A$15:$D$52,
MATCH($G$13&amp;ROW(C4)&amp;$G$13&amp;$H$13,
$A$15:$A$52&amp;$B$15:$B$52&amp;$C$15:$C$52,0),
COLUMN(D4)),"")</f>
        <v/>
      </c>
    </row>
    <row r="20" spans="1:9" ht="31" x14ac:dyDescent="0.7">
      <c r="A20" s="6" t="str">
        <f>B20&amp;COUNTIF($E$16:E20,E20)</f>
        <v>Paulo Santos1</v>
      </c>
      <c r="B20" s="51" t="s">
        <v>36</v>
      </c>
      <c r="C20" s="51" t="s">
        <v>59</v>
      </c>
      <c r="D20" s="52">
        <v>146.13999999999999</v>
      </c>
      <c r="E20" s="2" t="str">
        <f t="shared" si="0"/>
        <v>Paulo SantosSapato Social</v>
      </c>
      <c r="G20" s="49" t="str">
        <f t="array" ref="G20">IFERROR(INDEX($A$15:$D$52,
MATCH($G$13&amp;ROW(A5)&amp;$G$13&amp;$H$13,
$A$15:$A$52&amp;$B$15:$B$52&amp;$C$15:$C$52,0),
COLUMN(B5)),"")</f>
        <v/>
      </c>
      <c r="H20" s="49" t="str">
        <f t="array" ref="H20">IFERROR(INDEX($A$15:$D$52,
MATCH($G$13&amp;ROW(B5)&amp;$G$13&amp;$H$13,
$A$15:$A$52&amp;$B$15:$B$52&amp;$C$15:$C$52,0),
COLUMN(C5)),"")</f>
        <v/>
      </c>
      <c r="I20" s="50" t="str">
        <f t="array" ref="I20">IFERROR(INDEX($A$15:$D$52,
MATCH($G$13&amp;ROW(C5)&amp;$G$13&amp;$H$13,
$A$15:$A$52&amp;$B$15:$B$52&amp;$C$15:$C$52,0),
COLUMN(D5)),"")</f>
        <v/>
      </c>
    </row>
    <row r="21" spans="1:9" ht="31" x14ac:dyDescent="0.7">
      <c r="A21" s="6" t="str">
        <f>B21&amp;COUNTIF($E$16:E21,E21)</f>
        <v>Aline Rosa1</v>
      </c>
      <c r="B21" s="51" t="s">
        <v>37</v>
      </c>
      <c r="C21" s="51" t="s">
        <v>59</v>
      </c>
      <c r="D21" s="52">
        <v>896.56</v>
      </c>
      <c r="E21" s="2" t="str">
        <f t="shared" si="0"/>
        <v>Aline RosaSapato Social</v>
      </c>
      <c r="G21" s="49" t="str">
        <f t="array" ref="G21">IFERROR(INDEX($A$15:$D$52,
MATCH($G$13&amp;ROW(A6)&amp;$G$13&amp;$H$13,
$A$15:$A$52&amp;$B$15:$B$52&amp;$C$15:$C$52,0),
COLUMN(B6)),"")</f>
        <v/>
      </c>
      <c r="H21" s="49" t="str">
        <f t="array" ref="H21">IFERROR(INDEX($A$15:$D$52,
MATCH($G$13&amp;ROW(B6)&amp;$G$13&amp;$H$13,
$A$15:$A$52&amp;$B$15:$B$52&amp;$C$15:$C$52,0),
COLUMN(C6)),"")</f>
        <v/>
      </c>
      <c r="I21" s="50" t="str">
        <f t="array" ref="I21">IFERROR(INDEX($A$15:$D$52,
MATCH($G$13&amp;ROW(C6)&amp;$G$13&amp;$H$13,
$A$15:$A$52&amp;$B$15:$B$52&amp;$C$15:$C$52,0),
COLUMN(D6)),"")</f>
        <v/>
      </c>
    </row>
    <row r="22" spans="1:9" ht="31" x14ac:dyDescent="0.7">
      <c r="A22" s="6" t="str">
        <f>B22&amp;COUNTIF($E$16:E22,E22)</f>
        <v>Leonardo Almeida3</v>
      </c>
      <c r="B22" s="51" t="s">
        <v>32</v>
      </c>
      <c r="C22" s="51" t="s">
        <v>59</v>
      </c>
      <c r="D22" s="52">
        <v>602</v>
      </c>
      <c r="E22" s="2" t="str">
        <f t="shared" si="0"/>
        <v>Leonardo AlmeidaSapato Social</v>
      </c>
      <c r="G22" s="49" t="str">
        <f t="array" ref="G22">IFERROR(INDEX($A$15:$D$52,
MATCH($G$13&amp;ROW(A7)&amp;$G$13&amp;$H$13,
$A$15:$A$52&amp;$B$15:$B$52&amp;$C$15:$C$52,0),
COLUMN(B7)),"")</f>
        <v/>
      </c>
      <c r="H22" s="49" t="str">
        <f t="array" ref="H22">IFERROR(INDEX($A$15:$D$52,
MATCH($G$13&amp;ROW(B7)&amp;$G$13&amp;$H$13,
$A$15:$A$52&amp;$B$15:$B$52&amp;$C$15:$C$52,0),
COLUMN(C7)),"")</f>
        <v/>
      </c>
      <c r="I22" s="50" t="str">
        <f t="array" ref="I22">IFERROR(INDEX($A$15:$D$52,
MATCH($G$13&amp;ROW(C7)&amp;$G$13&amp;$H$13,
$A$15:$A$52&amp;$B$15:$B$52&amp;$C$15:$C$52,0),
COLUMN(D7)),"")</f>
        <v/>
      </c>
    </row>
    <row r="23" spans="1:9" ht="31" x14ac:dyDescent="0.7">
      <c r="A23" s="6" t="str">
        <f>B23&amp;COUNTIF($E$16:E23,E23)</f>
        <v>Eliane Moreira2</v>
      </c>
      <c r="B23" s="51" t="s">
        <v>33</v>
      </c>
      <c r="C23" s="51" t="s">
        <v>57</v>
      </c>
      <c r="D23" s="52">
        <v>248.73</v>
      </c>
      <c r="E23" s="2" t="str">
        <f t="shared" si="0"/>
        <v>Eliane MoreiraBolsa de Trabalho</v>
      </c>
      <c r="G23" s="49" t="str">
        <f t="array" ref="G23">IFERROR(INDEX($A$15:$D$52,
MATCH($G$13&amp;ROW(A8)&amp;$G$13&amp;$H$13,
$A$15:$A$52&amp;$B$15:$B$52&amp;$C$15:$C$52,0),
COLUMN(B8)),"")</f>
        <v/>
      </c>
      <c r="H23" s="49" t="str">
        <f t="array" ref="H23">IFERROR(INDEX($A$15:$D$52,
MATCH($G$13&amp;ROW(B8)&amp;$G$13&amp;$H$13,
$A$15:$A$52&amp;$B$15:$B$52&amp;$C$15:$C$52,0),
COLUMN(C8)),"")</f>
        <v/>
      </c>
      <c r="I23" s="50" t="str">
        <f t="array" ref="I23">IFERROR(INDEX($A$15:$D$52,
MATCH($G$13&amp;ROW(C8)&amp;$G$13&amp;$H$13,
$A$15:$A$52&amp;$B$15:$B$52&amp;$C$15:$C$52,0),
COLUMN(D8)),"")</f>
        <v/>
      </c>
    </row>
    <row r="24" spans="1:9" ht="31" x14ac:dyDescent="0.7">
      <c r="A24" s="6" t="str">
        <f>B24&amp;COUNTIF($E$16:E24,E24)</f>
        <v>Nicolas Pereira2</v>
      </c>
      <c r="B24" s="51" t="s">
        <v>34</v>
      </c>
      <c r="C24" s="51" t="s">
        <v>54</v>
      </c>
      <c r="D24" s="52">
        <v>116.52</v>
      </c>
      <c r="E24" s="2" t="str">
        <f t="shared" si="0"/>
        <v>Nicolas PereiraCamisa Masculina</v>
      </c>
      <c r="G24" s="49" t="str">
        <f t="array" ref="G24">IFERROR(INDEX($A$15:$D$52,
MATCH($G$13&amp;ROW(A9)&amp;$G$13&amp;$H$13,
$A$15:$A$52&amp;$B$15:$B$52&amp;$C$15:$C$52,0),
COLUMN(B9)),"")</f>
        <v/>
      </c>
      <c r="H24" s="49" t="str">
        <f t="array" ref="H24">IFERROR(INDEX($A$15:$D$52,
MATCH($G$13&amp;ROW(B9)&amp;$G$13&amp;$H$13,
$A$15:$A$52&amp;$B$15:$B$52&amp;$C$15:$C$52,0),
COLUMN(C9)),"")</f>
        <v/>
      </c>
      <c r="I24" s="50" t="str">
        <f t="array" ref="I24">IFERROR(INDEX($A$15:$D$52,
MATCH($G$13&amp;ROW(C9)&amp;$G$13&amp;$H$13,
$A$15:$A$52&amp;$B$15:$B$52&amp;$C$15:$C$52,0),
COLUMN(D9)),"")</f>
        <v/>
      </c>
    </row>
    <row r="25" spans="1:9" ht="31" x14ac:dyDescent="0.7">
      <c r="A25" s="6" t="str">
        <f>B25&amp;COUNTIF($E$16:E25,E25)</f>
        <v>Amanda Martins1</v>
      </c>
      <c r="B25" s="51" t="s">
        <v>35</v>
      </c>
      <c r="C25" s="51" t="s">
        <v>58</v>
      </c>
      <c r="D25" s="52">
        <v>59.9</v>
      </c>
      <c r="E25" s="2" t="str">
        <f t="shared" si="0"/>
        <v>Amanda MartinsVestido Infantil</v>
      </c>
    </row>
    <row r="26" spans="1:9" ht="31" x14ac:dyDescent="0.7">
      <c r="A26" s="6" t="str">
        <f>B26&amp;COUNTIF($E$16:E26,E26)</f>
        <v>Leonardo Almeida4</v>
      </c>
      <c r="B26" s="51" t="s">
        <v>32</v>
      </c>
      <c r="C26" s="51" t="s">
        <v>59</v>
      </c>
      <c r="D26" s="52">
        <v>46.9</v>
      </c>
      <c r="E26" s="2" t="str">
        <f>B26&amp;C26</f>
        <v>Leonardo AlmeidaSapato Social</v>
      </c>
    </row>
    <row r="27" spans="1:9" ht="31" x14ac:dyDescent="0.7">
      <c r="A27" s="6" t="str">
        <f>B27&amp;COUNTIF($E$16:E27,E27)</f>
        <v>Eliane Moreira3</v>
      </c>
      <c r="B27" s="51" t="s">
        <v>33</v>
      </c>
      <c r="C27" s="51" t="s">
        <v>57</v>
      </c>
      <c r="D27" s="52">
        <v>167.6</v>
      </c>
      <c r="E27" s="2" t="str">
        <f t="shared" si="0"/>
        <v>Eliane MoreiraBolsa de Trabalho</v>
      </c>
    </row>
    <row r="28" spans="1:9" ht="31" x14ac:dyDescent="0.7">
      <c r="A28" s="6" t="str">
        <f>B28&amp;COUNTIF($E$16:E28,E28)</f>
        <v>Nicolas Pereira3</v>
      </c>
      <c r="B28" s="51" t="s">
        <v>34</v>
      </c>
      <c r="C28" s="51" t="s">
        <v>54</v>
      </c>
      <c r="D28" s="52">
        <v>737.1</v>
      </c>
      <c r="E28" s="2" t="str">
        <f t="shared" si="0"/>
        <v>Nicolas PereiraCamisa Masculina</v>
      </c>
    </row>
    <row r="29" spans="1:9" ht="31" x14ac:dyDescent="0.7">
      <c r="A29" s="6" t="str">
        <f>B29&amp;COUNTIF($E$16:E29,E29)</f>
        <v>Amanda Martins1</v>
      </c>
      <c r="B29" s="51" t="s">
        <v>35</v>
      </c>
      <c r="C29" s="51" t="s">
        <v>59</v>
      </c>
      <c r="D29" s="52">
        <v>111.8</v>
      </c>
      <c r="E29" s="2" t="str">
        <f t="shared" si="0"/>
        <v>Amanda MartinsSapato Social</v>
      </c>
    </row>
    <row r="30" spans="1:9" ht="31" x14ac:dyDescent="0.7">
      <c r="A30" s="6" t="str">
        <f>B30&amp;COUNTIF($E$16:E30,E30)</f>
        <v>Eliane Moreira1</v>
      </c>
      <c r="B30" s="51" t="s">
        <v>33</v>
      </c>
      <c r="C30" s="51" t="s">
        <v>59</v>
      </c>
      <c r="D30" s="52">
        <v>89.9</v>
      </c>
      <c r="E30" s="2" t="str">
        <f t="shared" si="0"/>
        <v>Eliane MoreiraSapato Social</v>
      </c>
    </row>
    <row r="31" spans="1:9" ht="31" x14ac:dyDescent="0.7">
      <c r="A31" s="6" t="str">
        <f>B31&amp;COUNTIF($E$16:E31,E31)</f>
        <v>Angela Maria1</v>
      </c>
      <c r="B31" s="51" t="s">
        <v>38</v>
      </c>
      <c r="C31" s="51" t="s">
        <v>59</v>
      </c>
      <c r="D31" s="52">
        <v>89.99</v>
      </c>
      <c r="E31" s="2" t="str">
        <f t="shared" si="0"/>
        <v>Angela MariaSapato Social</v>
      </c>
    </row>
    <row r="32" spans="1:9" ht="31" x14ac:dyDescent="0.7">
      <c r="A32" s="6" t="str">
        <f>B32&amp;COUNTIF($E$16:E32,E32)</f>
        <v>Carlos Moreira1</v>
      </c>
      <c r="B32" s="51" t="s">
        <v>39</v>
      </c>
      <c r="C32" s="51" t="s">
        <v>53</v>
      </c>
      <c r="D32" s="52">
        <v>69.989999999999995</v>
      </c>
      <c r="E32" s="2" t="str">
        <f t="shared" si="0"/>
        <v>Carlos MoreiraCalça Feminina Jogger</v>
      </c>
    </row>
    <row r="33" spans="1:5" ht="31" x14ac:dyDescent="0.7">
      <c r="A33" s="6" t="str">
        <f>B33&amp;COUNTIF($E$16:E33,E33)</f>
        <v>Eliane Moreira2</v>
      </c>
      <c r="B33" s="51" t="s">
        <v>33</v>
      </c>
      <c r="C33" s="51" t="s">
        <v>59</v>
      </c>
      <c r="D33" s="52">
        <v>306.8</v>
      </c>
      <c r="E33" s="2" t="str">
        <f t="shared" si="0"/>
        <v>Eliane MoreiraSapato Social</v>
      </c>
    </row>
    <row r="34" spans="1:5" ht="31" x14ac:dyDescent="0.7">
      <c r="A34" s="6" t="str">
        <f>B34&amp;COUNTIF($E$16:E34,E34)</f>
        <v>Nicolas Pereira4</v>
      </c>
      <c r="B34" s="51" t="s">
        <v>34</v>
      </c>
      <c r="C34" s="51" t="s">
        <v>54</v>
      </c>
      <c r="D34" s="52">
        <v>891.36</v>
      </c>
      <c r="E34" s="2" t="str">
        <f t="shared" si="0"/>
        <v>Nicolas PereiraCamisa Masculina</v>
      </c>
    </row>
    <row r="35" spans="1:5" ht="31" x14ac:dyDescent="0.7">
      <c r="A35" s="6" t="str">
        <f>B35&amp;COUNTIF($E$16:E35,E35)</f>
        <v>Leonardo Almeida1</v>
      </c>
      <c r="B35" s="51" t="s">
        <v>32</v>
      </c>
      <c r="C35" s="51" t="s">
        <v>56</v>
      </c>
      <c r="D35" s="52">
        <v>146.13999999999999</v>
      </c>
      <c r="E35" s="2" t="str">
        <f>B35&amp;C35</f>
        <v>Leonardo AlmeidaJaqueta Masculina Preta</v>
      </c>
    </row>
    <row r="36" spans="1:5" ht="31" x14ac:dyDescent="0.7">
      <c r="A36" s="6" t="str">
        <f>B36&amp;COUNTIF($E$16:E36,E36)</f>
        <v>Aline Rosa2</v>
      </c>
      <c r="B36" s="51" t="s">
        <v>37</v>
      </c>
      <c r="C36" s="51" t="s">
        <v>59</v>
      </c>
      <c r="D36" s="52">
        <v>224.14</v>
      </c>
      <c r="E36" s="2" t="str">
        <f t="shared" si="0"/>
        <v>Aline RosaSapato Social</v>
      </c>
    </row>
    <row r="37" spans="1:5" ht="31" x14ac:dyDescent="0.7">
      <c r="A37" s="6" t="str">
        <f>B37&amp;COUNTIF($E$16:E37,E37)</f>
        <v>Leonardo Almeida2</v>
      </c>
      <c r="B37" s="51" t="s">
        <v>32</v>
      </c>
      <c r="C37" s="51" t="s">
        <v>56</v>
      </c>
      <c r="D37" s="52">
        <v>752.5</v>
      </c>
      <c r="E37" s="2" t="str">
        <f t="shared" si="0"/>
        <v>Leonardo AlmeidaJaqueta Masculina Preta</v>
      </c>
    </row>
    <row r="38" spans="1:5" ht="31" x14ac:dyDescent="0.7">
      <c r="A38" s="6" t="str">
        <f>B38&amp;COUNTIF($E$16:E38,E38)</f>
        <v>Eliane Moreira3</v>
      </c>
      <c r="B38" s="51" t="s">
        <v>33</v>
      </c>
      <c r="C38" s="51" t="s">
        <v>59</v>
      </c>
      <c r="D38" s="52">
        <v>497.46</v>
      </c>
      <c r="E38" s="2" t="str">
        <f t="shared" si="0"/>
        <v>Eliane MoreiraSapato Social</v>
      </c>
    </row>
    <row r="39" spans="1:5" ht="31" x14ac:dyDescent="0.7">
      <c r="A39" s="6" t="str">
        <f>B39&amp;COUNTIF($E$16:E39,E39)</f>
        <v>Nicolas Pereira1</v>
      </c>
      <c r="B39" s="51" t="s">
        <v>34</v>
      </c>
      <c r="C39" s="51" t="s">
        <v>55</v>
      </c>
      <c r="D39" s="52">
        <v>349.56</v>
      </c>
      <c r="E39" s="2" t="str">
        <f t="shared" si="0"/>
        <v>Nicolas PereiraBermuda Masculino</v>
      </c>
    </row>
    <row r="40" spans="1:5" ht="31" x14ac:dyDescent="0.7">
      <c r="A40" s="6" t="str">
        <f>B40&amp;COUNTIF($E$16:E40,E40)</f>
        <v>Amanda Martins2</v>
      </c>
      <c r="B40" s="51" t="s">
        <v>35</v>
      </c>
      <c r="C40" s="51" t="s">
        <v>58</v>
      </c>
      <c r="D40" s="52">
        <v>119.8</v>
      </c>
      <c r="E40" s="2" t="str">
        <f t="shared" si="0"/>
        <v>Amanda MartinsVestido Infantil</v>
      </c>
    </row>
    <row r="41" spans="1:5" ht="31" x14ac:dyDescent="0.7">
      <c r="A41" s="6" t="str">
        <f>B41&amp;COUNTIF($E$16:E41,E41)</f>
        <v>Eliane Moreira4</v>
      </c>
      <c r="B41" s="51" t="s">
        <v>33</v>
      </c>
      <c r="C41" s="51" t="s">
        <v>59</v>
      </c>
      <c r="D41" s="52">
        <v>93.8</v>
      </c>
      <c r="E41" s="2" t="str">
        <f t="shared" si="0"/>
        <v>Eliane MoreiraSapato Social</v>
      </c>
    </row>
    <row r="42" spans="1:5" ht="31" x14ac:dyDescent="0.7">
      <c r="A42" s="6" t="str">
        <f>B42&amp;COUNTIF($E$16:E42,E42)</f>
        <v>Nicolas Pereira2</v>
      </c>
      <c r="B42" s="51" t="s">
        <v>34</v>
      </c>
      <c r="C42" s="51" t="s">
        <v>55</v>
      </c>
      <c r="D42" s="52">
        <v>83.8</v>
      </c>
      <c r="E42" s="2" t="str">
        <f t="shared" si="0"/>
        <v>Nicolas PereiraBermuda Masculino</v>
      </c>
    </row>
    <row r="43" spans="1:5" ht="31" x14ac:dyDescent="0.7">
      <c r="A43" s="6" t="str">
        <f>B43&amp;COUNTIF($E$16:E43,E43)</f>
        <v>Amanda Martins2</v>
      </c>
      <c r="B43" s="51" t="s">
        <v>35</v>
      </c>
      <c r="C43" s="51" t="s">
        <v>59</v>
      </c>
      <c r="D43" s="52">
        <v>327.60000000000002</v>
      </c>
      <c r="E43" s="2" t="str">
        <f t="shared" si="0"/>
        <v>Amanda MartinsSapato Social</v>
      </c>
    </row>
    <row r="44" spans="1:5" ht="31" x14ac:dyDescent="0.7">
      <c r="A44" s="6" t="str">
        <f>B44&amp;COUNTIF($E$16:E44,E44)</f>
        <v>Angela Maria2</v>
      </c>
      <c r="B44" s="51" t="s">
        <v>38</v>
      </c>
      <c r="C44" s="51" t="s">
        <v>59</v>
      </c>
      <c r="D44" s="52">
        <v>349.56</v>
      </c>
      <c r="E44" s="2" t="str">
        <f t="shared" si="0"/>
        <v>Angela MariaSapato Social</v>
      </c>
    </row>
    <row r="45" spans="1:5" ht="31" x14ac:dyDescent="0.7">
      <c r="A45" s="6" t="str">
        <f>B45&amp;COUNTIF($E$16:E45,E45)</f>
        <v>Angela Maria3</v>
      </c>
      <c r="B45" s="51" t="s">
        <v>38</v>
      </c>
      <c r="C45" s="51" t="s">
        <v>59</v>
      </c>
      <c r="D45" s="52">
        <v>119.8</v>
      </c>
      <c r="E45" s="2" t="str">
        <f t="shared" si="0"/>
        <v>Angela MariaSapato Social</v>
      </c>
    </row>
    <row r="46" spans="1:5" ht="31" x14ac:dyDescent="0.7">
      <c r="A46" s="6" t="str">
        <f>B46&amp;COUNTIF($E$16:E46,E46)</f>
        <v>Carlos Moreira2</v>
      </c>
      <c r="B46" s="51" t="s">
        <v>39</v>
      </c>
      <c r="C46" s="51" t="s">
        <v>53</v>
      </c>
      <c r="D46" s="52">
        <v>120</v>
      </c>
      <c r="E46" s="2" t="str">
        <f t="shared" si="0"/>
        <v>Carlos MoreiraCalça Feminina Jogger</v>
      </c>
    </row>
    <row r="47" spans="1:5" ht="31" x14ac:dyDescent="0.7">
      <c r="A47" s="6" t="str">
        <f>B47&amp;COUNTIF($E$16:E47,E47)</f>
        <v>Carlos Moreira3</v>
      </c>
      <c r="B47" s="51" t="s">
        <v>39</v>
      </c>
      <c r="C47" s="51" t="s">
        <v>53</v>
      </c>
      <c r="D47" s="52">
        <v>780</v>
      </c>
      <c r="E47" s="2" t="str">
        <f t="shared" si="0"/>
        <v>Carlos MoreiraCalça Feminina Jogger</v>
      </c>
    </row>
    <row r="48" spans="1:5" ht="31" x14ac:dyDescent="0.7">
      <c r="A48" s="6" t="str">
        <f>B48&amp;COUNTIF($E$16:E48,E48)</f>
        <v>Aline Rosa3</v>
      </c>
      <c r="B48" s="51" t="s">
        <v>37</v>
      </c>
      <c r="C48" s="51" t="s">
        <v>59</v>
      </c>
      <c r="D48" s="52">
        <v>297.12</v>
      </c>
      <c r="E48" s="2" t="str">
        <f t="shared" si="0"/>
        <v>Aline RosaSapato Social</v>
      </c>
    </row>
    <row r="49" spans="1:5" ht="31" x14ac:dyDescent="0.7">
      <c r="A49" s="6" t="str">
        <f>B49&amp;COUNTIF($E$16:E49,E49)</f>
        <v>Leonardo Almeida5</v>
      </c>
      <c r="B49" s="51" t="s">
        <v>32</v>
      </c>
      <c r="C49" s="51" t="s">
        <v>59</v>
      </c>
      <c r="D49" s="52">
        <v>153.4</v>
      </c>
      <c r="E49" s="2" t="str">
        <f t="shared" si="0"/>
        <v>Leonardo AlmeidaSapato Social</v>
      </c>
    </row>
    <row r="50" spans="1:5" ht="31" x14ac:dyDescent="0.7">
      <c r="A50" s="6" t="str">
        <f>B50&amp;COUNTIF($E$16:E50,E50)</f>
        <v>Aline Rosa1</v>
      </c>
      <c r="B50" s="51" t="s">
        <v>37</v>
      </c>
      <c r="C50" s="51" t="s">
        <v>57</v>
      </c>
      <c r="D50" s="52">
        <v>120</v>
      </c>
      <c r="E50" s="2" t="str">
        <f t="shared" si="0"/>
        <v>Aline RosaBolsa de Trabalho</v>
      </c>
    </row>
    <row r="51" spans="1:5" ht="31" x14ac:dyDescent="0.7">
      <c r="A51" s="6" t="str">
        <f>B51&amp;COUNTIF($E$16:E51,E51)</f>
        <v>Paulo Santos2</v>
      </c>
      <c r="B51" s="51" t="s">
        <v>36</v>
      </c>
      <c r="C51" s="51" t="s">
        <v>59</v>
      </c>
      <c r="D51" s="52">
        <v>655.20000000000005</v>
      </c>
      <c r="E51" s="2" t="str">
        <f t="shared" si="0"/>
        <v>Paulo SantosSapato Social</v>
      </c>
    </row>
    <row r="52" spans="1:5" ht="31" x14ac:dyDescent="0.7">
      <c r="A52" s="6" t="str">
        <f>B52&amp;COUNTIF($E$16:E52,E52)</f>
        <v>Paulo Santos3</v>
      </c>
      <c r="B52" s="51" t="s">
        <v>36</v>
      </c>
      <c r="C52" s="51" t="s">
        <v>59</v>
      </c>
      <c r="D52" s="52">
        <v>153.4</v>
      </c>
      <c r="E52" s="2" t="str">
        <f t="shared" si="0"/>
        <v>Paulo SantosSapato Social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EEA8F9-127D-4CCC-AA02-61A4B94DFAB3}">
          <x14:formula1>
            <xm:f>Dados!$A$2:$A$9</xm:f>
          </x14:formula1>
          <xm:sqref>G13</xm:sqref>
        </x14:dataValidation>
        <x14:dataValidation type="list" allowBlank="1" showInputMessage="1" showErrorMessage="1" xr:uid="{7A44BBA6-2569-43C1-98F1-D63E2836801B}">
          <x14:formula1>
            <xm:f>Dados!$D$2:$D$8</xm:f>
          </x14:formula1>
          <xm:sqref>H13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C004-028E-42F6-A704-A94D987F0732}">
  <dimension ref="A1:D19"/>
  <sheetViews>
    <sheetView tabSelected="1" workbookViewId="0"/>
  </sheetViews>
  <sheetFormatPr defaultRowHeight="14.5" x14ac:dyDescent="0.35"/>
  <cols>
    <col min="1" max="1" width="23" customWidth="1"/>
    <col min="4" max="4" width="38.6328125" customWidth="1"/>
  </cols>
  <sheetData>
    <row r="1" spans="1:4" ht="18.5" x14ac:dyDescent="0.45">
      <c r="A1" s="20" t="s">
        <v>31</v>
      </c>
      <c r="D1" s="20" t="s">
        <v>17</v>
      </c>
    </row>
    <row r="2" spans="1:4" ht="18.5" x14ac:dyDescent="0.45">
      <c r="A2" s="37" t="s">
        <v>37</v>
      </c>
      <c r="D2" s="37" t="s">
        <v>55</v>
      </c>
    </row>
    <row r="3" spans="1:4" ht="18.5" x14ac:dyDescent="0.45">
      <c r="A3" s="37" t="s">
        <v>35</v>
      </c>
      <c r="D3" s="37" t="s">
        <v>57</v>
      </c>
    </row>
    <row r="4" spans="1:4" ht="18.5" x14ac:dyDescent="0.45">
      <c r="A4" s="37" t="s">
        <v>38</v>
      </c>
      <c r="D4" s="37" t="s">
        <v>53</v>
      </c>
    </row>
    <row r="5" spans="1:4" ht="18.5" x14ac:dyDescent="0.45">
      <c r="A5" s="37" t="s">
        <v>39</v>
      </c>
      <c r="D5" s="37" t="s">
        <v>54</v>
      </c>
    </row>
    <row r="6" spans="1:4" ht="18.5" x14ac:dyDescent="0.45">
      <c r="A6" s="37" t="s">
        <v>33</v>
      </c>
      <c r="D6" s="37" t="s">
        <v>56</v>
      </c>
    </row>
    <row r="7" spans="1:4" ht="18.5" x14ac:dyDescent="0.45">
      <c r="A7" s="37" t="s">
        <v>32</v>
      </c>
      <c r="D7" s="37" t="s">
        <v>59</v>
      </c>
    </row>
    <row r="8" spans="1:4" ht="18.5" x14ac:dyDescent="0.45">
      <c r="A8" s="37" t="s">
        <v>34</v>
      </c>
      <c r="D8" s="37" t="s">
        <v>58</v>
      </c>
    </row>
    <row r="9" spans="1:4" ht="18.5" x14ac:dyDescent="0.45">
      <c r="A9" s="37" t="s">
        <v>36</v>
      </c>
      <c r="D9" s="37"/>
    </row>
    <row r="10" spans="1:4" ht="18.5" x14ac:dyDescent="0.45">
      <c r="D10" s="37"/>
    </row>
    <row r="11" spans="1:4" ht="18.5" x14ac:dyDescent="0.45">
      <c r="D11" s="37"/>
    </row>
    <row r="12" spans="1:4" ht="18.5" x14ac:dyDescent="0.45">
      <c r="D12" s="37"/>
    </row>
    <row r="13" spans="1:4" ht="18.5" x14ac:dyDescent="0.45">
      <c r="D13" s="37"/>
    </row>
    <row r="14" spans="1:4" ht="18.5" x14ac:dyDescent="0.45">
      <c r="D14" s="37"/>
    </row>
    <row r="15" spans="1:4" ht="18.5" x14ac:dyDescent="0.45">
      <c r="D15" s="37"/>
    </row>
    <row r="16" spans="1:4" ht="18.5" x14ac:dyDescent="0.45">
      <c r="D16" s="37"/>
    </row>
    <row r="17" spans="4:4" ht="18.5" x14ac:dyDescent="0.45">
      <c r="D17" s="37"/>
    </row>
    <row r="18" spans="4:4" ht="18.5" x14ac:dyDescent="0.45">
      <c r="D18" s="37"/>
    </row>
    <row r="19" spans="4:4" ht="18.5" x14ac:dyDescent="0.45">
      <c r="D19" s="37"/>
    </row>
  </sheetData>
  <sortState xmlns:xlrd2="http://schemas.microsoft.com/office/spreadsheetml/2017/richdata2" ref="A2:A9">
    <sortCondition ref="A1:A9"/>
  </sortState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E7F2-D66B-4EE1-8969-DEC98175325D}">
  <dimension ref="B3:S8"/>
  <sheetViews>
    <sheetView showGridLines="0" zoomScaleNormal="100" workbookViewId="0">
      <selection activeCell="E8" sqref="E8"/>
    </sheetView>
  </sheetViews>
  <sheetFormatPr defaultRowHeight="14.5" x14ac:dyDescent="0.35"/>
  <cols>
    <col min="2" max="2" width="15.81640625" bestFit="1" customWidth="1"/>
    <col min="3" max="3" width="22.453125" style="1" bestFit="1" customWidth="1"/>
    <col min="4" max="4" width="25.1796875" style="1" bestFit="1" customWidth="1"/>
    <col min="5" max="5" width="21.90625" style="1" customWidth="1"/>
    <col min="7" max="7" width="15.81640625" bestFit="1" customWidth="1"/>
    <col min="8" max="8" width="23.90625" style="1" bestFit="1" customWidth="1"/>
  </cols>
  <sheetData>
    <row r="3" spans="2:19" ht="26" x14ac:dyDescent="0.6">
      <c r="B3" s="2" t="s">
        <v>66</v>
      </c>
      <c r="S3" s="44" t="s">
        <v>73</v>
      </c>
    </row>
    <row r="4" spans="2:19" ht="26" x14ac:dyDescent="0.6">
      <c r="B4" s="2" t="s">
        <v>67</v>
      </c>
      <c r="S4" s="44" t="s">
        <v>72</v>
      </c>
    </row>
    <row r="6" spans="2:19" ht="31" x14ac:dyDescent="0.7">
      <c r="B6" s="11" t="s">
        <v>17</v>
      </c>
      <c r="C6" s="12" t="s">
        <v>64</v>
      </c>
      <c r="D6" s="12" t="s">
        <v>18</v>
      </c>
      <c r="F6" s="6"/>
      <c r="G6" s="11" t="s">
        <v>17</v>
      </c>
      <c r="H6" s="12" t="s">
        <v>65</v>
      </c>
    </row>
    <row r="7" spans="2:19" ht="31" x14ac:dyDescent="0.7">
      <c r="B7" s="9" t="s">
        <v>19</v>
      </c>
      <c r="C7" s="10">
        <v>10</v>
      </c>
      <c r="D7" s="43">
        <f>VLOOKUP(B7,$G$6:$H$8,2,)*C7</f>
        <v>120</v>
      </c>
      <c r="E7" s="15"/>
      <c r="F7" s="6"/>
      <c r="G7" s="9" t="s">
        <v>19</v>
      </c>
      <c r="H7" s="13">
        <v>12</v>
      </c>
    </row>
    <row r="8" spans="2:19" ht="31" x14ac:dyDescent="0.7">
      <c r="B8" s="7" t="s">
        <v>20</v>
      </c>
      <c r="C8" s="8">
        <v>20</v>
      </c>
      <c r="D8" s="43">
        <f>VLOOKUP(B8,$G$6:$H$8,2,)*C8</f>
        <v>700</v>
      </c>
      <c r="E8" s="15"/>
      <c r="F8" s="6"/>
      <c r="G8" s="7" t="s">
        <v>20</v>
      </c>
      <c r="H8" s="14">
        <v>35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02AF-450A-4686-88C8-4BDEBF17DD3B}">
  <dimension ref="B2:P12"/>
  <sheetViews>
    <sheetView showGridLines="0" topLeftCell="B1" zoomScale="85" workbookViewId="0">
      <selection activeCell="D7" sqref="D7"/>
    </sheetView>
  </sheetViews>
  <sheetFormatPr defaultRowHeight="14.5" x14ac:dyDescent="0.35"/>
  <cols>
    <col min="2" max="2" width="24.54296875" customWidth="1"/>
    <col min="3" max="3" width="50.90625" bestFit="1" customWidth="1"/>
    <col min="4" max="4" width="37.453125" customWidth="1"/>
    <col min="5" max="5" width="40.1796875" customWidth="1"/>
    <col min="6" max="6" width="15.81640625" customWidth="1"/>
    <col min="7" max="12" width="21.1796875" bestFit="1" customWidth="1"/>
  </cols>
  <sheetData>
    <row r="2" spans="2:16" ht="26" x14ac:dyDescent="0.6">
      <c r="B2" s="2" t="s">
        <v>68</v>
      </c>
    </row>
    <row r="3" spans="2:16" ht="26" x14ac:dyDescent="0.6">
      <c r="B3" s="2" t="s">
        <v>14</v>
      </c>
      <c r="P3" s="44" t="s">
        <v>75</v>
      </c>
    </row>
    <row r="4" spans="2:16" ht="26" x14ac:dyDescent="0.6">
      <c r="B4" s="2"/>
      <c r="P4" s="44" t="s">
        <v>74</v>
      </c>
    </row>
    <row r="6" spans="2:16" ht="26" x14ac:dyDescent="0.6">
      <c r="B6" s="5" t="s">
        <v>0</v>
      </c>
      <c r="C6" s="5" t="s">
        <v>1</v>
      </c>
      <c r="D6" s="5" t="s">
        <v>15</v>
      </c>
      <c r="E6" s="5" t="s">
        <v>16</v>
      </c>
      <c r="G6" s="4" t="s">
        <v>3</v>
      </c>
      <c r="H6" s="3" t="s">
        <v>4</v>
      </c>
      <c r="I6" s="3" t="s">
        <v>2</v>
      </c>
      <c r="J6" s="3" t="s">
        <v>6</v>
      </c>
      <c r="K6" s="3" t="s">
        <v>7</v>
      </c>
      <c r="L6" s="3" t="s">
        <v>8</v>
      </c>
      <c r="P6" s="44" t="s">
        <v>77</v>
      </c>
    </row>
    <row r="7" spans="2:16" ht="26" x14ac:dyDescent="0.6">
      <c r="B7" s="4" t="s">
        <v>3</v>
      </c>
      <c r="C7" s="4" t="s">
        <v>5</v>
      </c>
      <c r="D7" s="32" t="str">
        <f>IF(ISNUMBER(SEARCH(G$6,$C7)),G$6,"")</f>
        <v/>
      </c>
      <c r="E7" s="32" t="str">
        <f>IF(ISNUMBER(SEARCH("Rose",$C7,1)),"Rose, ","")</f>
        <v/>
      </c>
      <c r="G7" s="2" t="str">
        <f>IF(ISNUMBER(SEARCH(G$6,$C7,1)),G$6,"")</f>
        <v/>
      </c>
      <c r="H7" s="2" t="str">
        <f t="shared" ref="H7:L7" si="0">IF(ISNUMBER(SEARCH(H$6,$C7,1)),H$6,"")</f>
        <v>Nicolas</v>
      </c>
      <c r="I7" s="2" t="str">
        <f t="shared" si="0"/>
        <v>Allan</v>
      </c>
      <c r="J7" s="2" t="str">
        <f t="shared" si="0"/>
        <v/>
      </c>
      <c r="K7" s="2" t="str">
        <f t="shared" si="0"/>
        <v/>
      </c>
      <c r="L7" s="2" t="str">
        <f t="shared" si="0"/>
        <v/>
      </c>
      <c r="P7" s="44" t="s">
        <v>76</v>
      </c>
    </row>
    <row r="8" spans="2:16" ht="26" x14ac:dyDescent="0.6">
      <c r="B8" s="3" t="s">
        <v>4</v>
      </c>
      <c r="C8" s="3" t="s">
        <v>10</v>
      </c>
      <c r="D8" s="33"/>
      <c r="E8" s="33"/>
      <c r="G8" s="2" t="str">
        <f t="shared" ref="G8:L12" si="1">IF(ISNUMBER(SEARCH(G$6,$C8,1)),G$6,"")</f>
        <v/>
      </c>
      <c r="H8" s="2" t="str">
        <f t="shared" si="1"/>
        <v/>
      </c>
      <c r="I8" s="2" t="str">
        <f t="shared" si="1"/>
        <v/>
      </c>
      <c r="J8" s="2" t="str">
        <f t="shared" si="1"/>
        <v>Ryan</v>
      </c>
      <c r="K8" s="2" t="str">
        <f t="shared" si="1"/>
        <v/>
      </c>
      <c r="L8" s="2" t="str">
        <f t="shared" si="1"/>
        <v/>
      </c>
    </row>
    <row r="9" spans="2:16" ht="26" x14ac:dyDescent="0.6">
      <c r="B9" s="3" t="s">
        <v>2</v>
      </c>
      <c r="C9" s="3" t="s">
        <v>11</v>
      </c>
      <c r="D9" s="33"/>
      <c r="E9" s="33"/>
      <c r="G9" s="2" t="str">
        <f t="shared" si="1"/>
        <v/>
      </c>
      <c r="H9" s="2" t="str">
        <f t="shared" si="1"/>
        <v/>
      </c>
      <c r="I9" s="2" t="str">
        <f t="shared" si="1"/>
        <v>Allan</v>
      </c>
      <c r="J9" s="2" t="str">
        <f t="shared" si="1"/>
        <v/>
      </c>
      <c r="K9" s="2" t="str">
        <f t="shared" si="1"/>
        <v>Amanda</v>
      </c>
      <c r="L9" s="2" t="str">
        <f t="shared" si="1"/>
        <v/>
      </c>
    </row>
    <row r="10" spans="2:16" ht="26" x14ac:dyDescent="0.6">
      <c r="B10" s="3" t="s">
        <v>6</v>
      </c>
      <c r="C10" s="3" t="s">
        <v>12</v>
      </c>
      <c r="D10" s="33"/>
      <c r="E10" s="33"/>
      <c r="G10" s="2" t="str">
        <f t="shared" si="1"/>
        <v/>
      </c>
      <c r="H10" s="2" t="str">
        <f t="shared" si="1"/>
        <v/>
      </c>
      <c r="I10" s="2" t="str">
        <f t="shared" si="1"/>
        <v/>
      </c>
      <c r="J10" s="2" t="str">
        <f t="shared" si="1"/>
        <v/>
      </c>
      <c r="K10" s="2" t="str">
        <f t="shared" si="1"/>
        <v/>
      </c>
      <c r="L10" s="2" t="str">
        <f t="shared" si="1"/>
        <v>Steve</v>
      </c>
    </row>
    <row r="11" spans="2:16" ht="26" x14ac:dyDescent="0.6">
      <c r="B11" s="3" t="s">
        <v>7</v>
      </c>
      <c r="C11" s="3" t="s">
        <v>13</v>
      </c>
      <c r="D11" s="33"/>
      <c r="E11" s="33"/>
      <c r="G11" s="2" t="str">
        <f t="shared" si="1"/>
        <v>Rose</v>
      </c>
      <c r="H11" s="2" t="str">
        <f t="shared" si="1"/>
        <v/>
      </c>
      <c r="I11" s="2" t="str">
        <f t="shared" si="1"/>
        <v/>
      </c>
      <c r="J11" s="2" t="str">
        <f t="shared" si="1"/>
        <v/>
      </c>
      <c r="K11" s="2" t="str">
        <f t="shared" si="1"/>
        <v/>
      </c>
      <c r="L11" s="2" t="str">
        <f t="shared" si="1"/>
        <v/>
      </c>
    </row>
    <row r="12" spans="2:16" ht="26" x14ac:dyDescent="0.6">
      <c r="B12" s="3" t="s">
        <v>8</v>
      </c>
      <c r="C12" s="3" t="s">
        <v>9</v>
      </c>
      <c r="D12" s="33"/>
      <c r="E12" s="33"/>
      <c r="G12" s="2" t="str">
        <f t="shared" si="1"/>
        <v>Rose</v>
      </c>
      <c r="H12" s="2" t="str">
        <f t="shared" si="1"/>
        <v>Nicolas</v>
      </c>
      <c r="I12" s="2" t="str">
        <f t="shared" si="1"/>
        <v>Allan</v>
      </c>
      <c r="J12" s="2" t="str">
        <f t="shared" si="1"/>
        <v/>
      </c>
      <c r="K12" s="2" t="str">
        <f t="shared" si="1"/>
        <v/>
      </c>
      <c r="L12" s="2" t="str">
        <f t="shared" si="1"/>
        <v>Steve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8E58-631A-4A0F-A4EC-0567FFABBA26}">
  <dimension ref="B3:S21"/>
  <sheetViews>
    <sheetView showGridLines="0" topLeftCell="A3" zoomScale="75" workbookViewId="0">
      <selection activeCell="F12" sqref="F12"/>
    </sheetView>
  </sheetViews>
  <sheetFormatPr defaultRowHeight="14.5" x14ac:dyDescent="0.35"/>
  <cols>
    <col min="2" max="2" width="24.6328125" customWidth="1"/>
    <col min="3" max="3" width="9.26953125" bestFit="1" customWidth="1"/>
    <col min="4" max="4" width="19.6328125" bestFit="1" customWidth="1"/>
    <col min="6" max="6" width="13.54296875" style="1" bestFit="1" customWidth="1"/>
    <col min="7" max="7" width="25.6328125" style="1" bestFit="1" customWidth="1"/>
    <col min="8" max="8" width="49.1796875" style="1" bestFit="1" customWidth="1"/>
  </cols>
  <sheetData>
    <row r="3" spans="2:19" ht="26" x14ac:dyDescent="0.6">
      <c r="B3" s="2" t="s">
        <v>69</v>
      </c>
    </row>
    <row r="4" spans="2:19" ht="26" x14ac:dyDescent="0.6">
      <c r="B4" s="2" t="s">
        <v>30</v>
      </c>
    </row>
    <row r="7" spans="2:19" ht="26" x14ac:dyDescent="0.6">
      <c r="B7" s="16" t="s">
        <v>21</v>
      </c>
      <c r="C7" s="16" t="s">
        <v>22</v>
      </c>
      <c r="D7" s="16" t="s">
        <v>18</v>
      </c>
      <c r="F7" s="16" t="s">
        <v>23</v>
      </c>
      <c r="G7" s="16" t="s">
        <v>24</v>
      </c>
      <c r="H7" s="16" t="s">
        <v>25</v>
      </c>
      <c r="S7" s="44" t="s">
        <v>78</v>
      </c>
    </row>
    <row r="8" spans="2:19" ht="26" x14ac:dyDescent="0.6">
      <c r="B8" s="18">
        <v>45007</v>
      </c>
      <c r="C8" s="17" t="s">
        <v>26</v>
      </c>
      <c r="D8" s="19">
        <v>100</v>
      </c>
      <c r="F8" s="17" t="s">
        <v>26</v>
      </c>
      <c r="G8" s="34" cm="1">
        <f t="array" ref="G8">MAX(IF($C$7:$C$21=$F8,$B$7:$B$21))</f>
        <v>45067</v>
      </c>
      <c r="H8" s="35" cm="1">
        <f t="array" ref="H8">INDEX($B$8:$D$21,MATCH(F8&amp;G8,$C$8:$C$21&amp;$B$8:$B$21,0),3)</f>
        <v>1300</v>
      </c>
      <c r="S8" s="44" t="s">
        <v>79</v>
      </c>
    </row>
    <row r="9" spans="2:19" ht="23.5" x14ac:dyDescent="0.55000000000000004">
      <c r="B9" s="18">
        <v>45012</v>
      </c>
      <c r="C9" s="17" t="s">
        <v>27</v>
      </c>
      <c r="D9" s="19">
        <f t="shared" ref="D9:D21" si="0">D8+100</f>
        <v>200</v>
      </c>
      <c r="F9" s="17" t="s">
        <v>27</v>
      </c>
      <c r="G9" s="34" cm="1">
        <f t="array" ref="G9">MAX(IF($C$7:$C$21=$F9,$B$7:$B$21))</f>
        <v>45072</v>
      </c>
      <c r="H9" s="35" cm="1">
        <f t="array" ref="H9">INDEX($B$8:$D$21,MATCH(F9&amp;G9,$C$8:$C$21&amp;$B$8:$B$21,0),3)</f>
        <v>1400</v>
      </c>
    </row>
    <row r="10" spans="2:19" ht="26" x14ac:dyDescent="0.6">
      <c r="B10" s="18">
        <v>45017</v>
      </c>
      <c r="C10" s="17" t="s">
        <v>28</v>
      </c>
      <c r="D10" s="19">
        <f t="shared" si="0"/>
        <v>300</v>
      </c>
      <c r="F10" s="17" t="s">
        <v>28</v>
      </c>
      <c r="G10" s="34" cm="1">
        <f t="array" ref="G10">MAX(IF($C$7:$C$21=$F10,$B$7:$B$21))</f>
        <v>45057</v>
      </c>
      <c r="H10" s="35" cm="1">
        <f t="array" ref="H10">INDEX($B$8:$D$21,MATCH(F10&amp;G10,$C$8:$C$21&amp;$B$8:$B$21,0),3)</f>
        <v>1100</v>
      </c>
      <c r="S10" s="44" t="s">
        <v>80</v>
      </c>
    </row>
    <row r="11" spans="2:19" ht="26" x14ac:dyDescent="0.6">
      <c r="B11" s="18">
        <v>45022</v>
      </c>
      <c r="C11" s="17" t="s">
        <v>29</v>
      </c>
      <c r="D11" s="19">
        <f t="shared" si="0"/>
        <v>400</v>
      </c>
      <c r="S11" s="44" t="s">
        <v>81</v>
      </c>
    </row>
    <row r="12" spans="2:19" ht="23.5" x14ac:dyDescent="0.55000000000000004">
      <c r="B12" s="18">
        <v>45027</v>
      </c>
      <c r="C12" s="17" t="s">
        <v>26</v>
      </c>
      <c r="D12" s="19">
        <f t="shared" si="0"/>
        <v>500</v>
      </c>
    </row>
    <row r="13" spans="2:19" ht="23.5" x14ac:dyDescent="0.55000000000000004">
      <c r="B13" s="18">
        <v>45032</v>
      </c>
      <c r="C13" s="17" t="s">
        <v>27</v>
      </c>
      <c r="D13" s="19">
        <f t="shared" si="0"/>
        <v>600</v>
      </c>
    </row>
    <row r="14" spans="2:19" ht="23.5" x14ac:dyDescent="0.55000000000000004">
      <c r="B14" s="18">
        <v>45037</v>
      </c>
      <c r="C14" s="17" t="s">
        <v>28</v>
      </c>
      <c r="D14" s="19">
        <f t="shared" si="0"/>
        <v>700</v>
      </c>
    </row>
    <row r="15" spans="2:19" ht="23.5" x14ac:dyDescent="0.55000000000000004">
      <c r="B15" s="18">
        <v>45042</v>
      </c>
      <c r="C15" s="17" t="s">
        <v>29</v>
      </c>
      <c r="D15" s="19">
        <f t="shared" si="0"/>
        <v>800</v>
      </c>
    </row>
    <row r="16" spans="2:19" ht="23.5" x14ac:dyDescent="0.55000000000000004">
      <c r="B16" s="18">
        <v>45047</v>
      </c>
      <c r="C16" s="17" t="s">
        <v>26</v>
      </c>
      <c r="D16" s="19">
        <f t="shared" si="0"/>
        <v>900</v>
      </c>
    </row>
    <row r="17" spans="2:4" ht="23.5" x14ac:dyDescent="0.55000000000000004">
      <c r="B17" s="18">
        <v>45052</v>
      </c>
      <c r="C17" s="17" t="s">
        <v>27</v>
      </c>
      <c r="D17" s="19">
        <f t="shared" si="0"/>
        <v>1000</v>
      </c>
    </row>
    <row r="18" spans="2:4" ht="23.5" x14ac:dyDescent="0.55000000000000004">
      <c r="B18" s="18">
        <v>45057</v>
      </c>
      <c r="C18" s="17" t="s">
        <v>28</v>
      </c>
      <c r="D18" s="19">
        <f t="shared" si="0"/>
        <v>1100</v>
      </c>
    </row>
    <row r="19" spans="2:4" ht="23.5" x14ac:dyDescent="0.55000000000000004">
      <c r="B19" s="18">
        <v>45062</v>
      </c>
      <c r="C19" s="17" t="s">
        <v>29</v>
      </c>
      <c r="D19" s="19">
        <f t="shared" si="0"/>
        <v>1200</v>
      </c>
    </row>
    <row r="20" spans="2:4" ht="23.5" x14ac:dyDescent="0.55000000000000004">
      <c r="B20" s="18">
        <v>45067</v>
      </c>
      <c r="C20" s="17" t="s">
        <v>26</v>
      </c>
      <c r="D20" s="19">
        <f t="shared" si="0"/>
        <v>1300</v>
      </c>
    </row>
    <row r="21" spans="2:4" ht="23.5" x14ac:dyDescent="0.55000000000000004">
      <c r="B21" s="18">
        <v>45072</v>
      </c>
      <c r="C21" s="17" t="s">
        <v>27</v>
      </c>
      <c r="D21" s="19">
        <f t="shared" si="0"/>
        <v>1400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ADC5-C202-4892-B7B4-3DB9F8C58164}">
  <dimension ref="B3:Y45"/>
  <sheetViews>
    <sheetView showGridLines="0" topLeftCell="A11" zoomScale="56" workbookViewId="0">
      <selection activeCell="K29" sqref="K29"/>
    </sheetView>
  </sheetViews>
  <sheetFormatPr defaultRowHeight="14.5" x14ac:dyDescent="0.35"/>
  <cols>
    <col min="2" max="2" width="32.36328125" customWidth="1"/>
    <col min="3" max="3" width="22.6328125" style="1" customWidth="1"/>
    <col min="4" max="4" width="6.54296875" bestFit="1" customWidth="1"/>
    <col min="7" max="7" width="29.453125" customWidth="1"/>
    <col min="8" max="13" width="23.36328125" style="1" customWidth="1"/>
  </cols>
  <sheetData>
    <row r="3" spans="2:25" ht="26" x14ac:dyDescent="0.6">
      <c r="B3" s="2" t="s">
        <v>70</v>
      </c>
      <c r="C3"/>
      <c r="F3" s="1"/>
      <c r="G3" s="1"/>
      <c r="I3"/>
      <c r="J3"/>
      <c r="K3"/>
      <c r="L3"/>
      <c r="M3"/>
    </row>
    <row r="4" spans="2:25" ht="26" x14ac:dyDescent="0.6">
      <c r="B4" s="2" t="s">
        <v>50</v>
      </c>
      <c r="C4"/>
      <c r="F4" s="1"/>
      <c r="G4" s="1"/>
      <c r="I4"/>
      <c r="J4"/>
      <c r="K4"/>
      <c r="L4"/>
      <c r="M4"/>
    </row>
    <row r="5" spans="2:25" ht="26" x14ac:dyDescent="0.6">
      <c r="B5" s="2" t="s">
        <v>51</v>
      </c>
      <c r="Y5" s="44" t="s">
        <v>83</v>
      </c>
    </row>
    <row r="6" spans="2:25" ht="26" x14ac:dyDescent="0.6">
      <c r="H6" s="54" t="s">
        <v>42</v>
      </c>
      <c r="I6" s="55"/>
      <c r="K6" s="54" t="s">
        <v>46</v>
      </c>
      <c r="L6" s="55"/>
      <c r="Y6" s="44" t="s">
        <v>82</v>
      </c>
    </row>
    <row r="7" spans="2:25" ht="26" x14ac:dyDescent="0.6">
      <c r="H7" s="23" t="s">
        <v>44</v>
      </c>
      <c r="I7" s="23" t="s">
        <v>45</v>
      </c>
      <c r="K7" s="23" t="s">
        <v>47</v>
      </c>
      <c r="L7" s="23" t="s">
        <v>48</v>
      </c>
      <c r="Y7" s="44" t="s">
        <v>84</v>
      </c>
    </row>
    <row r="8" spans="2:25" ht="26" x14ac:dyDescent="0.6">
      <c r="B8" s="20" t="s">
        <v>31</v>
      </c>
      <c r="C8" s="22" t="s">
        <v>21</v>
      </c>
      <c r="D8" s="21" t="s">
        <v>40</v>
      </c>
      <c r="G8" s="24" t="s">
        <v>31</v>
      </c>
      <c r="H8" s="23" t="s">
        <v>41</v>
      </c>
      <c r="I8" s="23" t="s">
        <v>43</v>
      </c>
      <c r="J8" s="23" t="s">
        <v>49</v>
      </c>
      <c r="K8" s="23" t="s">
        <v>41</v>
      </c>
      <c r="L8" s="23" t="s">
        <v>43</v>
      </c>
      <c r="M8" s="23" t="s">
        <v>49</v>
      </c>
      <c r="Y8" s="44" t="s">
        <v>85</v>
      </c>
    </row>
    <row r="9" spans="2:25" ht="26" x14ac:dyDescent="0.6">
      <c r="B9" s="25" t="s">
        <v>32</v>
      </c>
      <c r="C9" s="18">
        <v>44927</v>
      </c>
      <c r="D9" s="42">
        <v>85</v>
      </c>
      <c r="G9" s="25" t="s">
        <v>37</v>
      </c>
      <c r="H9" s="29">
        <f>SUMIFS($D$9:$D$45,$B$9:$B$45,$G9,$C$9:$C$45,"&gt;=01/01/2023",$C$9:$C$45,"&lt;=15/01/2023")</f>
        <v>136</v>
      </c>
      <c r="I9" s="29">
        <f>SUMIFS($D$9:$D$45,$B$9:$B$45,$G9,$C$9:$C$45,"&gt;=15/01/2023",$C$9:$C$45,"&lt;=31/01/2023")</f>
        <v>0</v>
      </c>
      <c r="J9" s="30">
        <f>H9+I9</f>
        <v>136</v>
      </c>
      <c r="K9" s="29">
        <f>SUMIFS($D$9:$D$45,$B$9:$B$45,$G9,$C$9:$C$45,"&gt;=01/02/2023",$C$9:$C$45,"&lt;=15/02/2023")</f>
        <v>19</v>
      </c>
      <c r="L9" s="29">
        <f>SUMIFS($D$9:$D$45,$B$9:$B$45,$G9,$C$9:$C$45,"&gt;=16/02/2023",$C$9:$C$45,"&lt;=28/02/2023")</f>
        <v>43</v>
      </c>
      <c r="M9" s="30">
        <f>K9+L9</f>
        <v>62</v>
      </c>
      <c r="Y9" s="44" t="s">
        <v>86</v>
      </c>
    </row>
    <row r="10" spans="2:25" ht="23.5" x14ac:dyDescent="0.55000000000000004">
      <c r="B10" s="25" t="s">
        <v>37</v>
      </c>
      <c r="C10" s="18">
        <v>44928</v>
      </c>
      <c r="D10" s="42">
        <v>37</v>
      </c>
      <c r="G10" s="25" t="s">
        <v>35</v>
      </c>
      <c r="H10" s="29">
        <f t="shared" ref="H10:H16" si="0">SUMIFS($D$9:$D$45,$B$9:$B$45,$G10,$C$9:$C$45,"&gt;=01/01/2023",$C$9:$C$45,"&lt;=15/01/2023")</f>
        <v>0</v>
      </c>
      <c r="I10" s="29">
        <f t="shared" ref="I10:I16" si="1">SUMIFS($D$9:$D$45,$B$9:$B$45,$G10,$C$9:$C$45,"&gt;=15/01/2023",$C$9:$C$45,"&lt;=31/01/2023")</f>
        <v>13</v>
      </c>
      <c r="J10" s="30">
        <f t="shared" ref="J10:J16" si="2">H10+I10</f>
        <v>13</v>
      </c>
      <c r="K10" s="29">
        <f t="shared" ref="K10:K16" si="3">SUMIFS($D$9:$D$45,$B$9:$B$45,$G10,$C$9:$C$45,"&gt;=01/02/2023",$C$9:$C$45,"&lt;=15/02/2023")</f>
        <v>0</v>
      </c>
      <c r="L10" s="29">
        <f t="shared" ref="L10:L16" si="4">SUMIFS($D$9:$D$45,$B$9:$B$45,$G10,$C$9:$C$45,"&gt;=16/02/2023",$C$9:$C$45,"&lt;=28/02/2023")</f>
        <v>91</v>
      </c>
      <c r="M10" s="30">
        <f t="shared" ref="M10:M16" si="5">K10+L10</f>
        <v>91</v>
      </c>
    </row>
    <row r="11" spans="2:25" ht="23.5" x14ac:dyDescent="0.55000000000000004">
      <c r="B11" s="25" t="s">
        <v>33</v>
      </c>
      <c r="C11" s="18">
        <v>44929</v>
      </c>
      <c r="D11" s="42">
        <v>62</v>
      </c>
      <c r="G11" s="25" t="s">
        <v>38</v>
      </c>
      <c r="H11" s="29">
        <f t="shared" si="0"/>
        <v>0</v>
      </c>
      <c r="I11" s="29">
        <f t="shared" si="1"/>
        <v>0</v>
      </c>
      <c r="J11" s="30">
        <f t="shared" si="2"/>
        <v>0</v>
      </c>
      <c r="K11" s="29">
        <f t="shared" si="3"/>
        <v>0</v>
      </c>
      <c r="L11" s="29">
        <f t="shared" si="4"/>
        <v>0</v>
      </c>
      <c r="M11" s="30">
        <f t="shared" si="5"/>
        <v>0</v>
      </c>
    </row>
    <row r="12" spans="2:25" ht="23.5" x14ac:dyDescent="0.55000000000000004">
      <c r="B12" s="25" t="s">
        <v>33</v>
      </c>
      <c r="C12" s="18">
        <v>44933</v>
      </c>
      <c r="D12" s="42">
        <v>30</v>
      </c>
      <c r="G12" s="25" t="s">
        <v>39</v>
      </c>
      <c r="H12" s="29">
        <f t="shared" si="0"/>
        <v>0</v>
      </c>
      <c r="I12" s="29">
        <f t="shared" si="1"/>
        <v>0</v>
      </c>
      <c r="J12" s="30">
        <f t="shared" si="2"/>
        <v>0</v>
      </c>
      <c r="K12" s="29">
        <f t="shared" si="3"/>
        <v>37</v>
      </c>
      <c r="L12" s="29">
        <f t="shared" si="4"/>
        <v>0</v>
      </c>
      <c r="M12" s="30">
        <f t="shared" si="5"/>
        <v>37</v>
      </c>
    </row>
    <row r="13" spans="2:25" ht="23.5" x14ac:dyDescent="0.55000000000000004">
      <c r="B13" s="25" t="s">
        <v>33</v>
      </c>
      <c r="C13" s="18">
        <v>44934</v>
      </c>
      <c r="D13" s="42">
        <v>90</v>
      </c>
      <c r="G13" s="25" t="s">
        <v>33</v>
      </c>
      <c r="H13" s="29">
        <f t="shared" si="0"/>
        <v>182</v>
      </c>
      <c r="I13" s="29">
        <f t="shared" si="1"/>
        <v>0</v>
      </c>
      <c r="J13" s="30">
        <f t="shared" si="2"/>
        <v>182</v>
      </c>
      <c r="K13" s="29">
        <f t="shared" si="3"/>
        <v>74</v>
      </c>
      <c r="L13" s="29">
        <f t="shared" si="4"/>
        <v>0</v>
      </c>
      <c r="M13" s="30">
        <f t="shared" si="5"/>
        <v>74</v>
      </c>
    </row>
    <row r="14" spans="2:25" ht="23.5" x14ac:dyDescent="0.55000000000000004">
      <c r="B14" s="25" t="s">
        <v>34</v>
      </c>
      <c r="C14" s="18">
        <v>44934</v>
      </c>
      <c r="D14" s="42">
        <v>13</v>
      </c>
      <c r="G14" s="25" t="s">
        <v>32</v>
      </c>
      <c r="H14" s="29">
        <f t="shared" si="0"/>
        <v>85</v>
      </c>
      <c r="I14" s="29">
        <f t="shared" si="1"/>
        <v>0</v>
      </c>
      <c r="J14" s="30">
        <f t="shared" si="2"/>
        <v>85</v>
      </c>
      <c r="K14" s="29">
        <f t="shared" si="3"/>
        <v>0</v>
      </c>
      <c r="L14" s="29">
        <f t="shared" si="4"/>
        <v>43</v>
      </c>
      <c r="M14" s="30">
        <f t="shared" si="5"/>
        <v>43</v>
      </c>
    </row>
    <row r="15" spans="2:25" ht="23.5" x14ac:dyDescent="0.55000000000000004">
      <c r="B15" s="25" t="s">
        <v>34</v>
      </c>
      <c r="C15" s="18">
        <v>44935</v>
      </c>
      <c r="D15" s="42">
        <v>88</v>
      </c>
      <c r="G15" s="25" t="s">
        <v>34</v>
      </c>
      <c r="H15" s="29">
        <f t="shared" si="0"/>
        <v>101</v>
      </c>
      <c r="I15" s="29">
        <f t="shared" si="1"/>
        <v>0</v>
      </c>
      <c r="J15" s="30">
        <f t="shared" si="2"/>
        <v>101</v>
      </c>
      <c r="K15" s="29">
        <f t="shared" si="3"/>
        <v>67</v>
      </c>
      <c r="L15" s="29">
        <f t="shared" si="4"/>
        <v>0</v>
      </c>
      <c r="M15" s="30">
        <f t="shared" si="5"/>
        <v>67</v>
      </c>
    </row>
    <row r="16" spans="2:25" ht="23.5" x14ac:dyDescent="0.55000000000000004">
      <c r="B16" s="25" t="s">
        <v>37</v>
      </c>
      <c r="C16" s="18">
        <v>44937</v>
      </c>
      <c r="D16" s="42">
        <v>99</v>
      </c>
      <c r="G16" s="25" t="s">
        <v>36</v>
      </c>
      <c r="H16" s="29">
        <f t="shared" si="0"/>
        <v>0</v>
      </c>
      <c r="I16" s="29">
        <f t="shared" si="1"/>
        <v>0</v>
      </c>
      <c r="J16" s="30">
        <f t="shared" si="2"/>
        <v>0</v>
      </c>
      <c r="K16" s="29">
        <f t="shared" si="3"/>
        <v>0</v>
      </c>
      <c r="L16" s="29">
        <f t="shared" si="4"/>
        <v>0</v>
      </c>
      <c r="M16" s="30">
        <f t="shared" si="5"/>
        <v>0</v>
      </c>
    </row>
    <row r="17" spans="2:13" ht="23.5" x14ac:dyDescent="0.55000000000000004">
      <c r="B17" s="25" t="s">
        <v>35</v>
      </c>
      <c r="C17" s="18">
        <v>44944</v>
      </c>
      <c r="D17" s="42">
        <v>13</v>
      </c>
      <c r="G17" s="23" t="s">
        <v>49</v>
      </c>
      <c r="H17" s="26">
        <f>SUM(H9:H16)</f>
        <v>504</v>
      </c>
      <c r="I17" s="26">
        <f t="shared" ref="I17:L17" si="6">SUM(I9:I16)</f>
        <v>13</v>
      </c>
      <c r="J17" s="26">
        <f t="shared" si="6"/>
        <v>517</v>
      </c>
      <c r="K17" s="26">
        <f t="shared" si="6"/>
        <v>197</v>
      </c>
      <c r="L17" s="26">
        <f t="shared" si="6"/>
        <v>177</v>
      </c>
      <c r="M17" s="26">
        <f>SUM(M9:M16)</f>
        <v>374</v>
      </c>
    </row>
    <row r="18" spans="2:13" ht="23.5" x14ac:dyDescent="0.55000000000000004">
      <c r="B18" s="25" t="s">
        <v>34</v>
      </c>
      <c r="C18" s="18">
        <v>44958</v>
      </c>
      <c r="D18" s="42">
        <v>57</v>
      </c>
      <c r="G18" s="24"/>
      <c r="H18" s="27"/>
    </row>
    <row r="19" spans="2:13" ht="23.5" x14ac:dyDescent="0.55000000000000004">
      <c r="B19" s="25" t="s">
        <v>34</v>
      </c>
      <c r="C19" s="18">
        <v>44962</v>
      </c>
      <c r="D19" s="42">
        <v>10</v>
      </c>
      <c r="H19" s="27"/>
    </row>
    <row r="20" spans="2:13" ht="23.5" x14ac:dyDescent="0.55000000000000004">
      <c r="B20" s="25" t="s">
        <v>33</v>
      </c>
      <c r="C20" s="18">
        <v>44968</v>
      </c>
      <c r="D20" s="42">
        <v>74</v>
      </c>
      <c r="H20" s="54" t="s">
        <v>42</v>
      </c>
      <c r="I20" s="55"/>
      <c r="K20" s="54" t="s">
        <v>46</v>
      </c>
      <c r="L20" s="55"/>
    </row>
    <row r="21" spans="2:13" ht="23.5" x14ac:dyDescent="0.55000000000000004">
      <c r="B21" s="25" t="s">
        <v>37</v>
      </c>
      <c r="C21" s="18">
        <v>44969</v>
      </c>
      <c r="D21" s="42">
        <v>19</v>
      </c>
      <c r="H21" s="23" t="s">
        <v>44</v>
      </c>
      <c r="I21" s="23" t="s">
        <v>45</v>
      </c>
      <c r="K21" s="23" t="s">
        <v>47</v>
      </c>
      <c r="L21" s="23" t="s">
        <v>48</v>
      </c>
    </row>
    <row r="22" spans="2:13" ht="23.5" x14ac:dyDescent="0.55000000000000004">
      <c r="B22" s="25" t="s">
        <v>39</v>
      </c>
      <c r="C22" s="18">
        <v>44972</v>
      </c>
      <c r="D22" s="42">
        <v>37</v>
      </c>
      <c r="G22" s="24" t="s">
        <v>31</v>
      </c>
      <c r="H22" s="23" t="s">
        <v>41</v>
      </c>
      <c r="I22" s="23" t="s">
        <v>43</v>
      </c>
      <c r="J22" s="23" t="s">
        <v>49</v>
      </c>
      <c r="K22" s="23" t="s">
        <v>41</v>
      </c>
      <c r="L22" s="23" t="s">
        <v>43</v>
      </c>
      <c r="M22" s="23" t="s">
        <v>49</v>
      </c>
    </row>
    <row r="23" spans="2:13" ht="23.5" x14ac:dyDescent="0.55000000000000004">
      <c r="B23" s="25" t="s">
        <v>37</v>
      </c>
      <c r="C23" s="18">
        <v>44975</v>
      </c>
      <c r="D23" s="42">
        <v>43</v>
      </c>
      <c r="G23" s="24" t="s">
        <v>37</v>
      </c>
      <c r="H23" s="48">
        <f>H9/H$17</f>
        <v>0.26984126984126983</v>
      </c>
      <c r="I23" s="48">
        <f>I9/I$17</f>
        <v>0</v>
      </c>
      <c r="J23" s="53">
        <f t="shared" ref="J23:M30" si="7">J9/J$17</f>
        <v>0.26305609284332687</v>
      </c>
      <c r="K23" s="48">
        <f>K9/K$17</f>
        <v>9.6446700507614211E-2</v>
      </c>
      <c r="L23" s="48">
        <f>L9/L$17</f>
        <v>0.24293785310734464</v>
      </c>
      <c r="M23" s="53">
        <f t="shared" si="7"/>
        <v>0.16577540106951871</v>
      </c>
    </row>
    <row r="24" spans="2:13" ht="23.5" x14ac:dyDescent="0.55000000000000004">
      <c r="B24" s="25" t="s">
        <v>35</v>
      </c>
      <c r="C24" s="18">
        <v>44979</v>
      </c>
      <c r="D24" s="42">
        <v>91</v>
      </c>
      <c r="G24" s="24" t="s">
        <v>35</v>
      </c>
      <c r="H24" s="48">
        <f t="shared" ref="H24:I30" si="8">H10/H$17</f>
        <v>0</v>
      </c>
      <c r="I24" s="48">
        <f t="shared" si="8"/>
        <v>1</v>
      </c>
      <c r="J24" s="53">
        <f t="shared" si="7"/>
        <v>2.5145067698259187E-2</v>
      </c>
      <c r="K24" s="48">
        <f t="shared" si="7"/>
        <v>0</v>
      </c>
      <c r="L24" s="48">
        <f t="shared" si="7"/>
        <v>0.51412429378531077</v>
      </c>
      <c r="M24" s="53">
        <f t="shared" si="7"/>
        <v>0.24331550802139038</v>
      </c>
    </row>
    <row r="25" spans="2:13" ht="23.5" x14ac:dyDescent="0.55000000000000004">
      <c r="B25" s="25" t="s">
        <v>32</v>
      </c>
      <c r="C25" s="18">
        <v>44983</v>
      </c>
      <c r="D25" s="42">
        <v>43</v>
      </c>
      <c r="G25" s="24" t="s">
        <v>38</v>
      </c>
      <c r="H25" s="48">
        <f t="shared" si="8"/>
        <v>0</v>
      </c>
      <c r="I25" s="48">
        <f t="shared" si="8"/>
        <v>0</v>
      </c>
      <c r="J25" s="53">
        <f t="shared" si="7"/>
        <v>0</v>
      </c>
      <c r="K25" s="48">
        <f t="shared" si="7"/>
        <v>0</v>
      </c>
      <c r="L25" s="48">
        <f t="shared" si="7"/>
        <v>0</v>
      </c>
      <c r="M25" s="53">
        <f t="shared" si="7"/>
        <v>0</v>
      </c>
    </row>
    <row r="26" spans="2:13" ht="23.5" x14ac:dyDescent="0.55000000000000004">
      <c r="B26" s="25" t="s">
        <v>34</v>
      </c>
      <c r="C26" s="18">
        <v>44986</v>
      </c>
      <c r="D26" s="42">
        <v>14</v>
      </c>
      <c r="G26" s="24" t="s">
        <v>39</v>
      </c>
      <c r="H26" s="48">
        <f t="shared" si="8"/>
        <v>0</v>
      </c>
      <c r="I26" s="48">
        <f t="shared" si="8"/>
        <v>0</v>
      </c>
      <c r="J26" s="53">
        <f t="shared" si="7"/>
        <v>0</v>
      </c>
      <c r="K26" s="48">
        <f t="shared" si="7"/>
        <v>0.18781725888324874</v>
      </c>
      <c r="L26" s="48">
        <f t="shared" si="7"/>
        <v>0</v>
      </c>
      <c r="M26" s="53">
        <f t="shared" si="7"/>
        <v>9.8930481283422467E-2</v>
      </c>
    </row>
    <row r="27" spans="2:13" ht="23.5" x14ac:dyDescent="0.55000000000000004">
      <c r="B27" s="25" t="s">
        <v>35</v>
      </c>
      <c r="C27" s="18">
        <v>44989</v>
      </c>
      <c r="D27" s="42">
        <v>67</v>
      </c>
      <c r="G27" s="24" t="s">
        <v>33</v>
      </c>
      <c r="H27" s="48">
        <f t="shared" si="8"/>
        <v>0.3611111111111111</v>
      </c>
      <c r="I27" s="48">
        <f t="shared" si="8"/>
        <v>0</v>
      </c>
      <c r="J27" s="53">
        <f t="shared" si="7"/>
        <v>0.3520309477756286</v>
      </c>
      <c r="K27" s="48">
        <f t="shared" si="7"/>
        <v>0.37563451776649748</v>
      </c>
      <c r="L27" s="48">
        <f t="shared" si="7"/>
        <v>0</v>
      </c>
      <c r="M27" s="53">
        <f t="shared" si="7"/>
        <v>0.19786096256684493</v>
      </c>
    </row>
    <row r="28" spans="2:13" ht="23.5" x14ac:dyDescent="0.55000000000000004">
      <c r="B28" s="25" t="s">
        <v>36</v>
      </c>
      <c r="C28" s="18">
        <v>44991</v>
      </c>
      <c r="D28" s="42">
        <v>28</v>
      </c>
      <c r="G28" s="24" t="s">
        <v>32</v>
      </c>
      <c r="H28" s="48">
        <f t="shared" si="8"/>
        <v>0.16865079365079366</v>
      </c>
      <c r="I28" s="48">
        <f t="shared" si="8"/>
        <v>0</v>
      </c>
      <c r="J28" s="53">
        <f t="shared" si="7"/>
        <v>0.16441005802707931</v>
      </c>
      <c r="K28" s="48">
        <f t="shared" si="7"/>
        <v>0</v>
      </c>
      <c r="L28" s="48">
        <f t="shared" si="7"/>
        <v>0.24293785310734464</v>
      </c>
      <c r="M28" s="53">
        <f t="shared" si="7"/>
        <v>0.11497326203208556</v>
      </c>
    </row>
    <row r="29" spans="2:13" ht="23.5" x14ac:dyDescent="0.55000000000000004">
      <c r="B29" s="25" t="s">
        <v>36</v>
      </c>
      <c r="C29" s="18">
        <v>44993</v>
      </c>
      <c r="D29" s="42">
        <v>77</v>
      </c>
      <c r="G29" s="24" t="s">
        <v>34</v>
      </c>
      <c r="H29" s="48">
        <f t="shared" si="8"/>
        <v>0.20039682539682541</v>
      </c>
      <c r="I29" s="48">
        <f t="shared" si="8"/>
        <v>0</v>
      </c>
      <c r="J29" s="53">
        <f t="shared" si="7"/>
        <v>0.195357833655706</v>
      </c>
      <c r="K29" s="48">
        <f t="shared" si="7"/>
        <v>0.34010152284263961</v>
      </c>
      <c r="L29" s="48">
        <f t="shared" si="7"/>
        <v>0</v>
      </c>
      <c r="M29" s="53">
        <f t="shared" si="7"/>
        <v>0.17914438502673796</v>
      </c>
    </row>
    <row r="30" spans="2:13" ht="23.5" x14ac:dyDescent="0.55000000000000004">
      <c r="B30" s="25" t="s">
        <v>39</v>
      </c>
      <c r="C30" s="18">
        <v>44993</v>
      </c>
      <c r="D30" s="42">
        <v>38</v>
      </c>
      <c r="G30" s="24" t="s">
        <v>36</v>
      </c>
      <c r="H30" s="48">
        <f t="shared" si="8"/>
        <v>0</v>
      </c>
      <c r="I30" s="48">
        <f t="shared" si="8"/>
        <v>0</v>
      </c>
      <c r="J30" s="53">
        <f t="shared" si="7"/>
        <v>0</v>
      </c>
      <c r="K30" s="48">
        <f t="shared" si="7"/>
        <v>0</v>
      </c>
      <c r="L30" s="48">
        <f t="shared" si="7"/>
        <v>0</v>
      </c>
      <c r="M30" s="53">
        <f t="shared" si="7"/>
        <v>0</v>
      </c>
    </row>
    <row r="31" spans="2:13" ht="23.5" x14ac:dyDescent="0.55000000000000004">
      <c r="B31" s="25" t="s">
        <v>33</v>
      </c>
      <c r="C31" s="18">
        <v>44997</v>
      </c>
      <c r="D31" s="42">
        <v>64</v>
      </c>
      <c r="G31" s="23" t="s">
        <v>49</v>
      </c>
      <c r="H31" s="28">
        <f>SUM(H23:H30)</f>
        <v>1</v>
      </c>
      <c r="I31" s="28">
        <f>SUM(I23:I30)</f>
        <v>1</v>
      </c>
      <c r="J31" s="28">
        <f>SUM(J23:J30)</f>
        <v>1</v>
      </c>
      <c r="K31" s="28">
        <f t="shared" ref="K31:L31" si="9">SUM(K23:K30)</f>
        <v>1</v>
      </c>
      <c r="L31" s="28">
        <f t="shared" si="9"/>
        <v>1</v>
      </c>
      <c r="M31" s="28">
        <f>SUM(M23:M30)</f>
        <v>1</v>
      </c>
    </row>
    <row r="32" spans="2:13" ht="23.5" x14ac:dyDescent="0.55000000000000004">
      <c r="B32" s="25" t="s">
        <v>38</v>
      </c>
      <c r="C32" s="18">
        <v>44998</v>
      </c>
      <c r="D32" s="42">
        <v>14</v>
      </c>
    </row>
    <row r="33" spans="2:4" ht="23.5" x14ac:dyDescent="0.55000000000000004">
      <c r="B33" s="25" t="s">
        <v>39</v>
      </c>
      <c r="C33" s="18">
        <v>45001</v>
      </c>
      <c r="D33" s="42">
        <v>80</v>
      </c>
    </row>
    <row r="34" spans="2:4" ht="23.5" x14ac:dyDescent="0.55000000000000004">
      <c r="B34" s="25" t="s">
        <v>35</v>
      </c>
      <c r="C34" s="18">
        <v>45001</v>
      </c>
      <c r="D34" s="42">
        <v>55</v>
      </c>
    </row>
    <row r="35" spans="2:4" ht="23.5" x14ac:dyDescent="0.55000000000000004">
      <c r="B35" s="25" t="s">
        <v>33</v>
      </c>
      <c r="C35" s="18">
        <v>45004</v>
      </c>
      <c r="D35" s="42">
        <v>55</v>
      </c>
    </row>
    <row r="36" spans="2:4" ht="23.5" x14ac:dyDescent="0.55000000000000004">
      <c r="B36" s="25" t="s">
        <v>32</v>
      </c>
      <c r="C36" s="18">
        <v>45005</v>
      </c>
      <c r="D36" s="42">
        <v>43</v>
      </c>
    </row>
    <row r="37" spans="2:4" ht="23.5" x14ac:dyDescent="0.55000000000000004">
      <c r="B37" s="25" t="s">
        <v>35</v>
      </c>
      <c r="C37" s="18">
        <v>45005</v>
      </c>
      <c r="D37" s="42">
        <v>79</v>
      </c>
    </row>
    <row r="38" spans="2:4" ht="23.5" x14ac:dyDescent="0.55000000000000004">
      <c r="B38" s="25" t="s">
        <v>36</v>
      </c>
      <c r="C38" s="18">
        <v>45006</v>
      </c>
      <c r="D38" s="42">
        <v>44</v>
      </c>
    </row>
    <row r="39" spans="2:4" ht="23.5" x14ac:dyDescent="0.55000000000000004">
      <c r="B39" s="25" t="s">
        <v>32</v>
      </c>
      <c r="C39" s="18">
        <v>45006</v>
      </c>
      <c r="D39" s="42">
        <v>54</v>
      </c>
    </row>
    <row r="40" spans="2:4" ht="23.5" x14ac:dyDescent="0.55000000000000004">
      <c r="B40" s="25" t="s">
        <v>38</v>
      </c>
      <c r="C40" s="18">
        <v>45007</v>
      </c>
      <c r="D40" s="42">
        <v>28</v>
      </c>
    </row>
    <row r="41" spans="2:4" ht="23.5" x14ac:dyDescent="0.55000000000000004">
      <c r="B41" s="25" t="s">
        <v>37</v>
      </c>
      <c r="C41" s="18">
        <v>45010</v>
      </c>
      <c r="D41" s="42">
        <v>79</v>
      </c>
    </row>
    <row r="42" spans="2:4" ht="23.5" x14ac:dyDescent="0.55000000000000004">
      <c r="B42" s="25" t="s">
        <v>33</v>
      </c>
      <c r="C42" s="18">
        <v>45011</v>
      </c>
      <c r="D42" s="42">
        <v>61</v>
      </c>
    </row>
    <row r="43" spans="2:4" ht="23.5" x14ac:dyDescent="0.55000000000000004">
      <c r="B43" s="25" t="s">
        <v>32</v>
      </c>
      <c r="C43" s="18">
        <v>45014</v>
      </c>
      <c r="D43" s="42">
        <v>9</v>
      </c>
    </row>
    <row r="44" spans="2:4" ht="23.5" x14ac:dyDescent="0.55000000000000004">
      <c r="B44" s="25" t="s">
        <v>34</v>
      </c>
      <c r="C44" s="18">
        <v>45014</v>
      </c>
      <c r="D44" s="42">
        <v>93</v>
      </c>
    </row>
    <row r="45" spans="2:4" ht="23.5" x14ac:dyDescent="0.55000000000000004">
      <c r="B45" s="25" t="s">
        <v>38</v>
      </c>
      <c r="C45" s="18">
        <v>45015</v>
      </c>
      <c r="D45" s="42">
        <v>76</v>
      </c>
    </row>
  </sheetData>
  <mergeCells count="4">
    <mergeCell ref="H6:I6"/>
    <mergeCell ref="K6:L6"/>
    <mergeCell ref="H20:I20"/>
    <mergeCell ref="K20:L20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DB2D-770E-4A60-8E1C-6B366AF670E5}">
  <dimension ref="A3:U52"/>
  <sheetViews>
    <sheetView showGridLines="0" topLeftCell="A9" zoomScale="62" workbookViewId="0">
      <selection activeCell="G13" sqref="G13"/>
    </sheetView>
  </sheetViews>
  <sheetFormatPr defaultRowHeight="14.5" x14ac:dyDescent="0.35"/>
  <cols>
    <col min="1" max="1" width="17.1796875" bestFit="1" customWidth="1"/>
    <col min="2" max="2" width="20" bestFit="1" customWidth="1"/>
    <col min="3" max="3" width="33.08984375" bestFit="1" customWidth="1"/>
    <col min="4" max="4" width="14.81640625" bestFit="1" customWidth="1"/>
    <col min="5" max="5" width="37" hidden="1" customWidth="1"/>
    <col min="6" max="6" width="8.81640625" customWidth="1"/>
    <col min="7" max="7" width="20" bestFit="1" customWidth="1"/>
    <col min="8" max="8" width="26.08984375" customWidth="1"/>
    <col min="9" max="9" width="17.1796875" customWidth="1"/>
  </cols>
  <sheetData>
    <row r="3" spans="1:21" ht="36" x14ac:dyDescent="0.8">
      <c r="B3" s="40" t="s">
        <v>61</v>
      </c>
    </row>
    <row r="4" spans="1:21" ht="26" x14ac:dyDescent="0.6">
      <c r="U4" s="44" t="s">
        <v>83</v>
      </c>
    </row>
    <row r="5" spans="1:21" ht="26" x14ac:dyDescent="0.6">
      <c r="B5" s="41" t="s">
        <v>71</v>
      </c>
      <c r="U5" s="44" t="s">
        <v>87</v>
      </c>
    </row>
    <row r="6" spans="1:21" ht="26" x14ac:dyDescent="0.6">
      <c r="B6" s="41" t="s">
        <v>62</v>
      </c>
      <c r="U6" s="44" t="s">
        <v>88</v>
      </c>
    </row>
    <row r="7" spans="1:21" ht="18.5" x14ac:dyDescent="0.45">
      <c r="B7" s="41" t="s">
        <v>63</v>
      </c>
    </row>
    <row r="12" spans="1:21" ht="18.5" x14ac:dyDescent="0.45">
      <c r="G12" s="20" t="s">
        <v>31</v>
      </c>
      <c r="H12" s="20" t="s">
        <v>60</v>
      </c>
    </row>
    <row r="13" spans="1:21" ht="18.5" x14ac:dyDescent="0.45">
      <c r="G13" s="37" t="s">
        <v>39</v>
      </c>
      <c r="H13" s="37" t="s">
        <v>53</v>
      </c>
    </row>
    <row r="15" spans="1:21" ht="18.5" x14ac:dyDescent="0.45">
      <c r="B15" s="20" t="s">
        <v>31</v>
      </c>
      <c r="C15" s="20" t="s">
        <v>17</v>
      </c>
      <c r="D15" s="20" t="s">
        <v>52</v>
      </c>
      <c r="G15" s="20" t="s">
        <v>31</v>
      </c>
      <c r="H15" s="20" t="s">
        <v>17</v>
      </c>
      <c r="I15" s="20" t="s">
        <v>52</v>
      </c>
    </row>
    <row r="16" spans="1:21" ht="18.5" x14ac:dyDescent="0.45">
      <c r="A16" t="str">
        <f>B16&amp;COUNTIF($E$16:E16,E16)</f>
        <v>Leonardo Almeida1</v>
      </c>
      <c r="B16" s="37" t="s">
        <v>32</v>
      </c>
      <c r="C16" s="37" t="s">
        <v>59</v>
      </c>
      <c r="D16" s="38">
        <v>269.97000000000003</v>
      </c>
      <c r="E16" t="str">
        <f>B16&amp;C16</f>
        <v>Leonardo AlmeidaSapato Social</v>
      </c>
      <c r="G16" s="36" t="str" cm="1">
        <f t="array" ref="G16">IFERROR(INDEX($A$15:$D$52,MATCH($G$13&amp;ROW(A1)&amp;$G$13&amp;$H$13,$A$15:$A$52&amp;$B$15:$B$52&amp;$C$15:$C$52,0),COLUMN(B1)),"")</f>
        <v>Carlos Moreira</v>
      </c>
      <c r="H16" s="36" t="str" cm="1">
        <f t="array" ref="H16">IFERROR(INDEX($A$15:$D$52,MATCH($G$13&amp;ROW(B1)&amp;$G$13&amp;$H$13,$A$15:$A$52&amp;$B$15:$B$52&amp;$C$15:$C$52,0),COLUMN(C1)),"")</f>
        <v>Calça Feminina Jogger</v>
      </c>
      <c r="I16" s="39" cm="1">
        <f t="array" ref="I16">IFERROR(INDEX($A$15:$D$52,MATCH($G$13&amp;ROW(C1)&amp;$G$13&amp;$H$13,$A$15:$A$52&amp;$B$15:$B$52&amp;$C$15:$C$52,0),COLUMN(D1)),"")</f>
        <v>69.989999999999995</v>
      </c>
    </row>
    <row r="17" spans="1:9" ht="18.5" x14ac:dyDescent="0.45">
      <c r="A17" t="str">
        <f>B17&amp;COUNTIF($E$16:E17,E17)</f>
        <v>Eliane Moreira1</v>
      </c>
      <c r="B17" s="37" t="s">
        <v>33</v>
      </c>
      <c r="C17" s="37" t="s">
        <v>57</v>
      </c>
      <c r="D17" s="38">
        <v>349.95</v>
      </c>
      <c r="E17" t="str">
        <f t="shared" ref="E17:E52" si="0">B17&amp;C17</f>
        <v>Eliane MoreiraBolsa de Trabalho</v>
      </c>
      <c r="G17" s="36" t="str" cm="1">
        <f t="array" ref="G17">IFERROR(INDEX($A$15:$D$52,MATCH($G$13&amp;ROW(A2)&amp;$G$13&amp;$H$13,$A$15:$A$52&amp;$B$15:$B$52&amp;$C$15:$C$52,0),COLUMN(B2)),"")</f>
        <v>Carlos Moreira</v>
      </c>
      <c r="H17" s="36" t="str" cm="1">
        <f t="array" ref="H17">IFERROR(INDEX($A$15:$D$52,MATCH($G$13&amp;ROW(B2)&amp;$G$13&amp;$H$13,$A$15:$A$52&amp;$B$15:$B$52&amp;$C$15:$C$52,0),COLUMN(C2)),"")</f>
        <v>Calça Feminina Jogger</v>
      </c>
      <c r="I17" s="39" cm="1">
        <f t="array" ref="I17">IFERROR(INDEX($A$15:$D$52,MATCH($G$13&amp;ROW(C2)&amp;$G$13&amp;$H$13,$A$15:$A$52&amp;$B$15:$B$52&amp;$C$15:$C$52,0),COLUMN(D2)),"")</f>
        <v>120</v>
      </c>
    </row>
    <row r="18" spans="1:9" ht="18.5" x14ac:dyDescent="0.45">
      <c r="A18" t="str">
        <f>B18&amp;COUNTIF($E$16:E18,E18)</f>
        <v>Nicolas Pereira1</v>
      </c>
      <c r="B18" s="37" t="s">
        <v>34</v>
      </c>
      <c r="C18" s="37" t="s">
        <v>54</v>
      </c>
      <c r="D18" s="38">
        <v>153.4</v>
      </c>
      <c r="E18" t="str">
        <f t="shared" si="0"/>
        <v>Nicolas PereiraCamisa Masculina</v>
      </c>
      <c r="G18" s="36" t="str" cm="1">
        <f t="array" ref="G18">IFERROR(INDEX($A$15:$D$52,MATCH($G$13&amp;ROW(A3)&amp;$G$13&amp;$H$13,$A$15:$A$52&amp;$B$15:$B$52&amp;$C$15:$C$52,0),COLUMN(B3)),"")</f>
        <v>Carlos Moreira</v>
      </c>
      <c r="H18" s="36" t="str" cm="1">
        <f t="array" ref="H18">IFERROR(INDEX($A$15:$D$52,MATCH($G$13&amp;ROW(B3)&amp;$G$13&amp;$H$13,$A$15:$A$52&amp;$B$15:$B$52&amp;$C$15:$C$52,0),COLUMN(C3)),"")</f>
        <v>Calça Feminina Jogger</v>
      </c>
      <c r="I18" s="39" cm="1">
        <f t="array" ref="I18">IFERROR(INDEX($A$15:$D$52,MATCH($G$13&amp;ROW(C3)&amp;$G$13&amp;$H$13,$A$15:$A$52&amp;$B$15:$B$52&amp;$C$15:$C$52,0),COLUMN(D3)),"")</f>
        <v>780</v>
      </c>
    </row>
    <row r="19" spans="1:9" ht="18.5" x14ac:dyDescent="0.45">
      <c r="A19" t="str">
        <f>B19&amp;COUNTIF($E$16:E19,E19)</f>
        <v>Leonardo Almeida2</v>
      </c>
      <c r="B19" s="37" t="s">
        <v>32</v>
      </c>
      <c r="C19" s="37" t="s">
        <v>59</v>
      </c>
      <c r="D19" s="38">
        <v>1337.04</v>
      </c>
      <c r="E19" t="str">
        <f t="shared" si="0"/>
        <v>Leonardo AlmeidaSapato Social</v>
      </c>
      <c r="G19" s="36" t="str" cm="1">
        <f t="array" ref="G19">IFERROR(INDEX($A$15:$D$52,MATCH($G$13&amp;ROW(A4)&amp;$G$13&amp;$H$13,$A$15:$A$52&amp;$B$15:$B$52&amp;$C$15:$C$52,0),COLUMN(B4)),"")</f>
        <v/>
      </c>
      <c r="H19" s="36" t="str" cm="1">
        <f t="array" ref="H19">IFERROR(INDEX($A$15:$D$52,MATCH($G$13&amp;ROW(B4)&amp;$G$13&amp;$H$13,$A$15:$A$52&amp;$B$15:$B$52&amp;$C$15:$C$52,0),COLUMN(C4)),"")</f>
        <v/>
      </c>
      <c r="I19" s="39" t="str" cm="1">
        <f t="array" ref="I19">IFERROR(INDEX($A$15:$D$52,MATCH($G$13&amp;ROW(C4)&amp;$G$13&amp;$H$13,$A$15:$A$52&amp;$B$15:$B$52&amp;$C$15:$C$52,0),COLUMN(D4)),"")</f>
        <v/>
      </c>
    </row>
    <row r="20" spans="1:9" ht="18.5" x14ac:dyDescent="0.45">
      <c r="A20" t="str">
        <f>B20&amp;COUNTIF($E$16:E20,E20)</f>
        <v>Paulo Santos1</v>
      </c>
      <c r="B20" s="37" t="s">
        <v>36</v>
      </c>
      <c r="C20" s="37" t="s">
        <v>59</v>
      </c>
      <c r="D20" s="38">
        <v>146.13999999999999</v>
      </c>
      <c r="E20" t="str">
        <f t="shared" si="0"/>
        <v>Paulo SantosSapato Social</v>
      </c>
      <c r="G20" s="36" t="str" cm="1">
        <f t="array" ref="G20">IFERROR(INDEX($A$15:$D$52,MATCH($G$13&amp;ROW(A5)&amp;$G$13&amp;$H$13,$A$15:$A$52&amp;$B$15:$B$52&amp;$C$15:$C$52,0),COLUMN(B5)),"")</f>
        <v/>
      </c>
      <c r="H20" s="36" t="str" cm="1">
        <f t="array" ref="H20">IFERROR(INDEX($A$15:$D$52,MATCH($G$13&amp;ROW(B5)&amp;$G$13&amp;$H$13,$A$15:$A$52&amp;$B$15:$B$52&amp;$C$15:$C$52,0),COLUMN(C5)),"")</f>
        <v/>
      </c>
      <c r="I20" s="39" t="str" cm="1">
        <f t="array" ref="I20">IFERROR(INDEX($A$15:$D$52,MATCH($G$13&amp;ROW(C5)&amp;$G$13&amp;$H$13,$A$15:$A$52&amp;$B$15:$B$52&amp;$C$15:$C$52,0),COLUMN(D5)),"")</f>
        <v/>
      </c>
    </row>
    <row r="21" spans="1:9" ht="18.5" x14ac:dyDescent="0.45">
      <c r="A21" t="str">
        <f>B21&amp;COUNTIF($E$16:E21,E21)</f>
        <v>Aline Rosa1</v>
      </c>
      <c r="B21" s="37" t="s">
        <v>37</v>
      </c>
      <c r="C21" s="37" t="s">
        <v>59</v>
      </c>
      <c r="D21" s="38">
        <v>896.56</v>
      </c>
      <c r="E21" t="str">
        <f t="shared" si="0"/>
        <v>Aline RosaSapato Social</v>
      </c>
      <c r="G21" s="36" t="str" cm="1">
        <f t="array" ref="G21">IFERROR(INDEX($A$15:$D$52,MATCH($G$13&amp;ROW(A6)&amp;$G$13&amp;$H$13,$A$15:$A$52&amp;$B$15:$B$52&amp;$C$15:$C$52,0),COLUMN(B6)),"")</f>
        <v/>
      </c>
      <c r="H21" s="36" t="str" cm="1">
        <f t="array" ref="H21">IFERROR(INDEX($A$15:$D$52,MATCH($G$13&amp;ROW(B6)&amp;$G$13&amp;$H$13,$A$15:$A$52&amp;$B$15:$B$52&amp;$C$15:$C$52,0),COLUMN(C6)),"")</f>
        <v/>
      </c>
      <c r="I21" s="39" t="str" cm="1">
        <f t="array" ref="I21">IFERROR(INDEX($A$15:$D$52,MATCH($G$13&amp;ROW(C6)&amp;$G$13&amp;$H$13,$A$15:$A$52&amp;$B$15:$B$52&amp;$C$15:$C$52,0),COLUMN(D6)),"")</f>
        <v/>
      </c>
    </row>
    <row r="22" spans="1:9" ht="18.5" x14ac:dyDescent="0.45">
      <c r="A22" t="str">
        <f>B22&amp;COUNTIF($E$16:E22,E22)</f>
        <v>Leonardo Almeida3</v>
      </c>
      <c r="B22" s="37" t="s">
        <v>32</v>
      </c>
      <c r="C22" s="37" t="s">
        <v>59</v>
      </c>
      <c r="D22" s="38">
        <v>602</v>
      </c>
      <c r="E22" t="str">
        <f t="shared" si="0"/>
        <v>Leonardo AlmeidaSapato Social</v>
      </c>
      <c r="G22" s="36" t="str" cm="1">
        <f t="array" ref="G22">IFERROR(INDEX($A$15:$D$52,MATCH($G$13&amp;ROW(A7)&amp;$G$13&amp;$H$13,$A$15:$A$52&amp;$B$15:$B$52&amp;$C$15:$C$52,0),COLUMN(B7)),"")</f>
        <v/>
      </c>
      <c r="H22" s="36" t="str" cm="1">
        <f t="array" ref="H22">IFERROR(INDEX($A$15:$D$52,MATCH($G$13&amp;ROW(B7)&amp;$G$13&amp;$H$13,$A$15:$A$52&amp;$B$15:$B$52&amp;$C$15:$C$52,0),COLUMN(C7)),"")</f>
        <v/>
      </c>
      <c r="I22" s="39" t="str" cm="1">
        <f t="array" ref="I22">IFERROR(INDEX($A$15:$D$52,MATCH($G$13&amp;ROW(C7)&amp;$G$13&amp;$H$13,$A$15:$A$52&amp;$B$15:$B$52&amp;$C$15:$C$52,0),COLUMN(D7)),"")</f>
        <v/>
      </c>
    </row>
    <row r="23" spans="1:9" ht="18.5" x14ac:dyDescent="0.45">
      <c r="A23" t="str">
        <f>B23&amp;COUNTIF($E$16:E23,E23)</f>
        <v>Eliane Moreira2</v>
      </c>
      <c r="B23" s="37" t="s">
        <v>33</v>
      </c>
      <c r="C23" s="37" t="s">
        <v>57</v>
      </c>
      <c r="D23" s="38">
        <v>248.73</v>
      </c>
      <c r="E23" t="str">
        <f t="shared" si="0"/>
        <v>Eliane MoreiraBolsa de Trabalho</v>
      </c>
      <c r="G23" s="36" t="str" cm="1">
        <f t="array" ref="G23">IFERROR(INDEX($A$15:$D$52,MATCH($G$13&amp;ROW(A8)&amp;$G$13&amp;$H$13,$A$15:$A$52&amp;$B$15:$B$52&amp;$C$15:$C$52,0),COLUMN(B8)),"")</f>
        <v/>
      </c>
      <c r="H23" s="36" t="str" cm="1">
        <f t="array" ref="H23">IFERROR(INDEX($A$15:$D$52,MATCH($G$13&amp;ROW(B8)&amp;$G$13&amp;$H$13,$A$15:$A$52&amp;$B$15:$B$52&amp;$C$15:$C$52,0),COLUMN(C8)),"")</f>
        <v/>
      </c>
      <c r="I23" s="39" t="str" cm="1">
        <f t="array" ref="I23">IFERROR(INDEX($A$15:$D$52,MATCH($G$13&amp;ROW(C8)&amp;$G$13&amp;$H$13,$A$15:$A$52&amp;$B$15:$B$52&amp;$C$15:$C$52,0),COLUMN(D8)),"")</f>
        <v/>
      </c>
    </row>
    <row r="24" spans="1:9" ht="18.5" x14ac:dyDescent="0.45">
      <c r="A24" t="str">
        <f>B24&amp;COUNTIF($E$16:E24,E24)</f>
        <v>Nicolas Pereira2</v>
      </c>
      <c r="B24" s="37" t="s">
        <v>34</v>
      </c>
      <c r="C24" s="37" t="s">
        <v>54</v>
      </c>
      <c r="D24" s="38">
        <v>116.52</v>
      </c>
      <c r="E24" t="str">
        <f t="shared" si="0"/>
        <v>Nicolas PereiraCamisa Masculina</v>
      </c>
      <c r="G24" s="36" t="str" cm="1">
        <f t="array" ref="G24">IFERROR(INDEX($A$15:$D$52,MATCH($G$13&amp;ROW(A9)&amp;$G$13&amp;$H$13,$A$15:$A$52&amp;$B$15:$B$52&amp;$C$15:$C$52,0),COLUMN(B9)),"")</f>
        <v/>
      </c>
      <c r="H24" s="36" t="str" cm="1">
        <f t="array" ref="H24">IFERROR(INDEX($A$15:$D$52,MATCH($G$13&amp;ROW(B9)&amp;$G$13&amp;$H$13,$A$15:$A$52&amp;$B$15:$B$52&amp;$C$15:$C$52,0),COLUMN(C9)),"")</f>
        <v/>
      </c>
      <c r="I24" s="39" t="str" cm="1">
        <f t="array" ref="I24">IFERROR(INDEX($A$15:$D$52,MATCH($G$13&amp;ROW(C9)&amp;$G$13&amp;$H$13,$A$15:$A$52&amp;$B$15:$B$52&amp;$C$15:$C$52,0),COLUMN(D9)),"")</f>
        <v/>
      </c>
    </row>
    <row r="25" spans="1:9" ht="18.5" x14ac:dyDescent="0.45">
      <c r="A25" t="str">
        <f>B25&amp;COUNTIF($E$16:E25,E25)</f>
        <v>Amanda Martins1</v>
      </c>
      <c r="B25" s="37" t="s">
        <v>35</v>
      </c>
      <c r="C25" s="37" t="s">
        <v>58</v>
      </c>
      <c r="D25" s="38">
        <v>59.9</v>
      </c>
      <c r="E25" t="str">
        <f t="shared" si="0"/>
        <v>Amanda MartinsVestido Infantil</v>
      </c>
    </row>
    <row r="26" spans="1:9" ht="18.5" x14ac:dyDescent="0.45">
      <c r="A26" t="str">
        <f>B26&amp;COUNTIF($E$16:E26,E26)</f>
        <v>Leonardo Almeida4</v>
      </c>
      <c r="B26" s="37" t="s">
        <v>32</v>
      </c>
      <c r="C26" s="37" t="s">
        <v>59</v>
      </c>
      <c r="D26" s="38">
        <v>46.9</v>
      </c>
      <c r="E26" t="str">
        <f t="shared" si="0"/>
        <v>Leonardo AlmeidaSapato Social</v>
      </c>
    </row>
    <row r="27" spans="1:9" ht="18.5" x14ac:dyDescent="0.45">
      <c r="A27" t="str">
        <f>B27&amp;COUNTIF($E$16:E27,E27)</f>
        <v>Eliane Moreira3</v>
      </c>
      <c r="B27" s="37" t="s">
        <v>33</v>
      </c>
      <c r="C27" s="37" t="s">
        <v>57</v>
      </c>
      <c r="D27" s="38">
        <v>167.6</v>
      </c>
      <c r="E27" t="str">
        <f t="shared" si="0"/>
        <v>Eliane MoreiraBolsa de Trabalho</v>
      </c>
    </row>
    <row r="28" spans="1:9" ht="18.5" x14ac:dyDescent="0.45">
      <c r="A28" t="str">
        <f>B28&amp;COUNTIF($E$16:E28,E28)</f>
        <v>Nicolas Pereira3</v>
      </c>
      <c r="B28" s="37" t="s">
        <v>34</v>
      </c>
      <c r="C28" s="37" t="s">
        <v>54</v>
      </c>
      <c r="D28" s="38">
        <v>737.1</v>
      </c>
      <c r="E28" t="str">
        <f t="shared" si="0"/>
        <v>Nicolas PereiraCamisa Masculina</v>
      </c>
    </row>
    <row r="29" spans="1:9" ht="18.5" x14ac:dyDescent="0.45">
      <c r="A29" t="str">
        <f>B29&amp;COUNTIF($E$16:E29,E29)</f>
        <v>Amanda Martins1</v>
      </c>
      <c r="B29" s="37" t="s">
        <v>35</v>
      </c>
      <c r="C29" s="37" t="s">
        <v>59</v>
      </c>
      <c r="D29" s="38">
        <v>111.8</v>
      </c>
      <c r="E29" t="str">
        <f t="shared" si="0"/>
        <v>Amanda MartinsSapato Social</v>
      </c>
    </row>
    <row r="30" spans="1:9" ht="18.5" x14ac:dyDescent="0.45">
      <c r="A30" t="str">
        <f>B30&amp;COUNTIF($E$16:E30,E30)</f>
        <v>Eliane Moreira1</v>
      </c>
      <c r="B30" s="37" t="s">
        <v>33</v>
      </c>
      <c r="C30" s="37" t="s">
        <v>59</v>
      </c>
      <c r="D30" s="38">
        <v>89.9</v>
      </c>
      <c r="E30" t="str">
        <f t="shared" si="0"/>
        <v>Eliane MoreiraSapato Social</v>
      </c>
    </row>
    <row r="31" spans="1:9" ht="18.5" x14ac:dyDescent="0.45">
      <c r="A31" t="str">
        <f>B31&amp;COUNTIF($E$16:E31,E31)</f>
        <v>Angela Maria1</v>
      </c>
      <c r="B31" s="37" t="s">
        <v>38</v>
      </c>
      <c r="C31" s="37" t="s">
        <v>59</v>
      </c>
      <c r="D31" s="38">
        <v>89.99</v>
      </c>
      <c r="E31" t="str">
        <f t="shared" si="0"/>
        <v>Angela MariaSapato Social</v>
      </c>
    </row>
    <row r="32" spans="1:9" ht="18.5" x14ac:dyDescent="0.45">
      <c r="A32" t="str">
        <f>B32&amp;COUNTIF($E$16:E32,E32)</f>
        <v>Carlos Moreira1</v>
      </c>
      <c r="B32" s="37" t="s">
        <v>39</v>
      </c>
      <c r="C32" s="37" t="s">
        <v>53</v>
      </c>
      <c r="D32" s="38">
        <v>69.989999999999995</v>
      </c>
      <c r="E32" t="str">
        <f t="shared" si="0"/>
        <v>Carlos MoreiraCalça Feminina Jogger</v>
      </c>
    </row>
    <row r="33" spans="1:5" ht="18.5" x14ac:dyDescent="0.45">
      <c r="A33" t="str">
        <f>B33&amp;COUNTIF($E$16:E33,E33)</f>
        <v>Eliane Moreira2</v>
      </c>
      <c r="B33" s="37" t="s">
        <v>33</v>
      </c>
      <c r="C33" s="37" t="s">
        <v>59</v>
      </c>
      <c r="D33" s="38">
        <v>306.8</v>
      </c>
      <c r="E33" t="str">
        <f t="shared" si="0"/>
        <v>Eliane MoreiraSapato Social</v>
      </c>
    </row>
    <row r="34" spans="1:5" ht="18.5" x14ac:dyDescent="0.45">
      <c r="A34" t="str">
        <f>B34&amp;COUNTIF($E$16:E34,E34)</f>
        <v>Nicolas Pereira4</v>
      </c>
      <c r="B34" s="37" t="s">
        <v>34</v>
      </c>
      <c r="C34" s="37" t="s">
        <v>54</v>
      </c>
      <c r="D34" s="38">
        <v>891.36</v>
      </c>
      <c r="E34" t="str">
        <f t="shared" si="0"/>
        <v>Nicolas PereiraCamisa Masculina</v>
      </c>
    </row>
    <row r="35" spans="1:5" ht="18.5" x14ac:dyDescent="0.45">
      <c r="A35" t="str">
        <f>B35&amp;COUNTIF($E$16:E35,E35)</f>
        <v>Leonardo Almeida1</v>
      </c>
      <c r="B35" s="37" t="s">
        <v>32</v>
      </c>
      <c r="C35" s="37" t="s">
        <v>56</v>
      </c>
      <c r="D35" s="38">
        <v>146.13999999999999</v>
      </c>
      <c r="E35" t="str">
        <f t="shared" si="0"/>
        <v>Leonardo AlmeidaJaqueta Masculina Preta</v>
      </c>
    </row>
    <row r="36" spans="1:5" ht="18.5" x14ac:dyDescent="0.45">
      <c r="A36" t="str">
        <f>B36&amp;COUNTIF($E$16:E36,E36)</f>
        <v>Aline Rosa2</v>
      </c>
      <c r="B36" s="37" t="s">
        <v>37</v>
      </c>
      <c r="C36" s="37" t="s">
        <v>59</v>
      </c>
      <c r="D36" s="38">
        <v>224.14</v>
      </c>
      <c r="E36" t="str">
        <f t="shared" si="0"/>
        <v>Aline RosaSapato Social</v>
      </c>
    </row>
    <row r="37" spans="1:5" ht="18.5" x14ac:dyDescent="0.45">
      <c r="A37" t="str">
        <f>B37&amp;COUNTIF($E$16:E37,E37)</f>
        <v>Leonardo Almeida2</v>
      </c>
      <c r="B37" s="37" t="s">
        <v>32</v>
      </c>
      <c r="C37" s="37" t="s">
        <v>56</v>
      </c>
      <c r="D37" s="38">
        <v>752.5</v>
      </c>
      <c r="E37" t="str">
        <f t="shared" si="0"/>
        <v>Leonardo AlmeidaJaqueta Masculina Preta</v>
      </c>
    </row>
    <row r="38" spans="1:5" ht="18.5" x14ac:dyDescent="0.45">
      <c r="A38" t="str">
        <f>B38&amp;COUNTIF($E$16:E38,E38)</f>
        <v>Eliane Moreira3</v>
      </c>
      <c r="B38" s="37" t="s">
        <v>33</v>
      </c>
      <c r="C38" s="37" t="s">
        <v>59</v>
      </c>
      <c r="D38" s="38">
        <v>497.46</v>
      </c>
      <c r="E38" t="str">
        <f t="shared" si="0"/>
        <v>Eliane MoreiraSapato Social</v>
      </c>
    </row>
    <row r="39" spans="1:5" ht="18.5" x14ac:dyDescent="0.45">
      <c r="A39" t="str">
        <f>B39&amp;COUNTIF($E$16:E39,E39)</f>
        <v>Nicolas Pereira1</v>
      </c>
      <c r="B39" s="37" t="s">
        <v>34</v>
      </c>
      <c r="C39" s="37" t="s">
        <v>55</v>
      </c>
      <c r="D39" s="38">
        <v>349.56</v>
      </c>
      <c r="E39" t="str">
        <f t="shared" si="0"/>
        <v>Nicolas PereiraBermuda Masculino</v>
      </c>
    </row>
    <row r="40" spans="1:5" ht="18.5" x14ac:dyDescent="0.45">
      <c r="A40" t="str">
        <f>B40&amp;COUNTIF($E$16:E40,E40)</f>
        <v>Amanda Martins2</v>
      </c>
      <c r="B40" s="37" t="s">
        <v>35</v>
      </c>
      <c r="C40" s="37" t="s">
        <v>58</v>
      </c>
      <c r="D40" s="38">
        <v>119.8</v>
      </c>
      <c r="E40" t="str">
        <f t="shared" si="0"/>
        <v>Amanda MartinsVestido Infantil</v>
      </c>
    </row>
    <row r="41" spans="1:5" ht="18.5" x14ac:dyDescent="0.45">
      <c r="A41" t="str">
        <f>B41&amp;COUNTIF($E$16:E41,E41)</f>
        <v>Eliane Moreira4</v>
      </c>
      <c r="B41" s="37" t="s">
        <v>33</v>
      </c>
      <c r="C41" s="37" t="s">
        <v>59</v>
      </c>
      <c r="D41" s="38">
        <v>93.8</v>
      </c>
      <c r="E41" t="str">
        <f t="shared" si="0"/>
        <v>Eliane MoreiraSapato Social</v>
      </c>
    </row>
    <row r="42" spans="1:5" ht="18.5" x14ac:dyDescent="0.45">
      <c r="A42" t="str">
        <f>B42&amp;COUNTIF($E$16:E42,E42)</f>
        <v>Nicolas Pereira2</v>
      </c>
      <c r="B42" s="37" t="s">
        <v>34</v>
      </c>
      <c r="C42" s="37" t="s">
        <v>55</v>
      </c>
      <c r="D42" s="38">
        <v>83.8</v>
      </c>
      <c r="E42" t="str">
        <f t="shared" si="0"/>
        <v>Nicolas PereiraBermuda Masculino</v>
      </c>
    </row>
    <row r="43" spans="1:5" ht="18.5" x14ac:dyDescent="0.45">
      <c r="A43" t="str">
        <f>B43&amp;COUNTIF($E$16:E43,E43)</f>
        <v>Amanda Martins2</v>
      </c>
      <c r="B43" s="37" t="s">
        <v>35</v>
      </c>
      <c r="C43" s="37" t="s">
        <v>59</v>
      </c>
      <c r="D43" s="38">
        <v>327.60000000000002</v>
      </c>
      <c r="E43" t="str">
        <f t="shared" si="0"/>
        <v>Amanda MartinsSapato Social</v>
      </c>
    </row>
    <row r="44" spans="1:5" ht="18.5" x14ac:dyDescent="0.45">
      <c r="A44" t="str">
        <f>B44&amp;COUNTIF($E$16:E44,E44)</f>
        <v>Angela Maria2</v>
      </c>
      <c r="B44" s="37" t="s">
        <v>38</v>
      </c>
      <c r="C44" s="37" t="s">
        <v>59</v>
      </c>
      <c r="D44" s="38">
        <v>349.56</v>
      </c>
      <c r="E44" t="str">
        <f t="shared" si="0"/>
        <v>Angela MariaSapato Social</v>
      </c>
    </row>
    <row r="45" spans="1:5" ht="18.5" x14ac:dyDescent="0.45">
      <c r="A45" t="str">
        <f>B45&amp;COUNTIF($E$16:E45,E45)</f>
        <v>Angela Maria3</v>
      </c>
      <c r="B45" s="37" t="s">
        <v>38</v>
      </c>
      <c r="C45" s="37" t="s">
        <v>59</v>
      </c>
      <c r="D45" s="38">
        <v>119.8</v>
      </c>
      <c r="E45" t="str">
        <f t="shared" si="0"/>
        <v>Angela MariaSapato Social</v>
      </c>
    </row>
    <row r="46" spans="1:5" ht="18.5" x14ac:dyDescent="0.45">
      <c r="A46" t="str">
        <f>B46&amp;COUNTIF($E$16:E46,E46)</f>
        <v>Carlos Moreira2</v>
      </c>
      <c r="B46" s="37" t="s">
        <v>39</v>
      </c>
      <c r="C46" s="37" t="s">
        <v>53</v>
      </c>
      <c r="D46" s="38">
        <v>120</v>
      </c>
      <c r="E46" t="str">
        <f t="shared" si="0"/>
        <v>Carlos MoreiraCalça Feminina Jogger</v>
      </c>
    </row>
    <row r="47" spans="1:5" ht="18.5" x14ac:dyDescent="0.45">
      <c r="A47" t="str">
        <f>B47&amp;COUNTIF($E$16:E47,E47)</f>
        <v>Carlos Moreira3</v>
      </c>
      <c r="B47" s="37" t="s">
        <v>39</v>
      </c>
      <c r="C47" s="37" t="s">
        <v>53</v>
      </c>
      <c r="D47" s="38">
        <v>780</v>
      </c>
      <c r="E47" t="str">
        <f t="shared" si="0"/>
        <v>Carlos MoreiraCalça Feminina Jogger</v>
      </c>
    </row>
    <row r="48" spans="1:5" ht="18.5" x14ac:dyDescent="0.45">
      <c r="A48" t="str">
        <f>B48&amp;COUNTIF($E$16:E48,E48)</f>
        <v>Aline Rosa3</v>
      </c>
      <c r="B48" s="37" t="s">
        <v>37</v>
      </c>
      <c r="C48" s="37" t="s">
        <v>59</v>
      </c>
      <c r="D48" s="38">
        <v>297.12</v>
      </c>
      <c r="E48" t="str">
        <f t="shared" si="0"/>
        <v>Aline RosaSapato Social</v>
      </c>
    </row>
    <row r="49" spans="1:5" ht="18.5" x14ac:dyDescent="0.45">
      <c r="A49" t="str">
        <f>B49&amp;COUNTIF($E$16:E49,E49)</f>
        <v>Leonardo Almeida5</v>
      </c>
      <c r="B49" s="37" t="s">
        <v>32</v>
      </c>
      <c r="C49" s="37" t="s">
        <v>59</v>
      </c>
      <c r="D49" s="38">
        <v>153.4</v>
      </c>
      <c r="E49" t="str">
        <f t="shared" si="0"/>
        <v>Leonardo AlmeidaSapato Social</v>
      </c>
    </row>
    <row r="50" spans="1:5" ht="18.5" x14ac:dyDescent="0.45">
      <c r="A50" t="str">
        <f>B50&amp;COUNTIF($E$16:E50,E50)</f>
        <v>Aline Rosa1</v>
      </c>
      <c r="B50" s="37" t="s">
        <v>37</v>
      </c>
      <c r="C50" s="37" t="s">
        <v>57</v>
      </c>
      <c r="D50" s="38">
        <v>120</v>
      </c>
      <c r="E50" t="str">
        <f t="shared" si="0"/>
        <v>Aline RosaBolsa de Trabalho</v>
      </c>
    </row>
    <row r="51" spans="1:5" ht="18.5" x14ac:dyDescent="0.45">
      <c r="A51" t="str">
        <f>B51&amp;COUNTIF($E$16:E51,E51)</f>
        <v>Paulo Santos2</v>
      </c>
      <c r="B51" s="37" t="s">
        <v>36</v>
      </c>
      <c r="C51" s="37" t="s">
        <v>59</v>
      </c>
      <c r="D51" s="38">
        <v>655.20000000000005</v>
      </c>
      <c r="E51" t="str">
        <f t="shared" si="0"/>
        <v>Paulo SantosSapato Social</v>
      </c>
    </row>
    <row r="52" spans="1:5" ht="18.5" x14ac:dyDescent="0.45">
      <c r="A52" t="str">
        <f>B52&amp;COUNTIF($E$16:E52,E52)</f>
        <v>Paulo Santos3</v>
      </c>
      <c r="B52" s="37" t="s">
        <v>36</v>
      </c>
      <c r="C52" s="37" t="s">
        <v>59</v>
      </c>
      <c r="D52" s="38">
        <v>153.4</v>
      </c>
      <c r="E52" t="str">
        <f t="shared" si="0"/>
        <v>Paulo SantosSapato Social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50FE5C-B698-4FD9-AD0D-6B2B9F503FB2}">
          <x14:formula1>
            <xm:f>Dados!$D$2:$D$8</xm:f>
          </x14:formula1>
          <xm:sqref>H13</xm:sqref>
        </x14:dataValidation>
        <x14:dataValidation type="list" allowBlank="1" showInputMessage="1" showErrorMessage="1" xr:uid="{D6F1406B-FB79-4222-B562-18EA8E192BA1}">
          <x14:formula1>
            <xm:f>Dados!$A$2:$A$9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Professor PROCV</vt:lpstr>
      <vt:lpstr>Professor Nomes em Frase</vt:lpstr>
      <vt:lpstr>Professor Valor data + Recente</vt:lpstr>
      <vt:lpstr>Professor SOMASES</vt:lpstr>
      <vt:lpstr>Professor ÍNDICE CORRESP</vt:lpstr>
      <vt:lpstr>Dados</vt:lpstr>
      <vt:lpstr>Aluno PROCV</vt:lpstr>
      <vt:lpstr>Aluno Nomes em Frase</vt:lpstr>
      <vt:lpstr>Aluno Valor data + Recente</vt:lpstr>
      <vt:lpstr>Aluno SOMASES</vt:lpstr>
      <vt:lpstr>Aluno ÍNDICE CORRESP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2022-12-16T15:16:40Z</dcterms:created>
  <dcterms:modified xsi:type="dcterms:W3CDTF">2026-07-02T22:18:01Z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2026-06-30T23:52:57Z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83ade3fd-b7f3-4262-9698-90dc44061afd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
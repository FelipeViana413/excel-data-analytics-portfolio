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6/"/>
    </mc:Choice>
  </mc:AlternateContent>
  <xr:revisionPtr revIDLastSave="25" documentId="13_ncr:1_{D7519AEE-1260-4B57-816E-6C40C2F0467D}" xr6:coauthVersionLast="47" xr6:coauthVersionMax="47" xr10:uidLastSave="{ECD43C86-A81D-4652-8EF3-76D9F52CC7EB}"/>
  <bookViews>
    <workbookView xWindow="-110" yWindow="-110" windowWidth="19420" windowHeight="11500" tabRatio="809" activeTab="1" xr2:uid="{2E65B82F-5866-47B8-BB74-66991D6C79DA}"/>
  </bookViews>
  <sheets>
    <sheet name="PROCV" sheetId="1" r:id="rId1"/>
    <sheet name="Aluno" sheetId="16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6" l="1"/>
  <c r="D4" i="16"/>
  <c r="D5" i="16"/>
  <c r="D6" i="16"/>
  <c r="D7" i="16"/>
  <c r="D8" i="16"/>
  <c r="D9" i="16"/>
  <c r="D10" i="16"/>
  <c r="D11" i="16"/>
  <c r="D12" i="16"/>
  <c r="D13" i="16"/>
  <c r="C3" i="16"/>
  <c r="C4" i="16"/>
  <c r="C5" i="16"/>
  <c r="C6" i="16"/>
  <c r="C7" i="16"/>
  <c r="C8" i="16"/>
  <c r="C9" i="16"/>
  <c r="C10" i="16"/>
  <c r="C11" i="16"/>
  <c r="C12" i="16"/>
  <c r="C13" i="16"/>
  <c r="B3" i="16"/>
  <c r="B4" i="16"/>
  <c r="B5" i="16"/>
  <c r="B6" i="16"/>
  <c r="B7" i="16"/>
  <c r="B8" i="16"/>
  <c r="B9" i="16"/>
  <c r="B10" i="16"/>
  <c r="B11" i="16"/>
  <c r="B12" i="16"/>
  <c r="B13" i="16"/>
  <c r="D2" i="16"/>
  <c r="C2" i="16"/>
  <c r="B2" i="16"/>
  <c r="B2" i="1"/>
  <c r="D2" i="1"/>
  <c r="C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<sst xmlns="http://schemas.openxmlformats.org/spreadsheetml/2006/main" count="36" uniqueCount="20">
  <si>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</si>
  <si>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</si>
  <si>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</si>
  <si>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</si>
  <si>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</si>
  <si>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</si>
  <si>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</si>
  <si>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</si>
  <si>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</si>
  <si>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</si>
  <si>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</si>
  <si>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</si>
  <si>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</si>
  <si>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</si>
  <si>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</si>
  <si>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Salario</t>
  </si>
  <si>
    <t>=PROCV(A2;'[Planilha externa.xlsx]Dados'!$A:$C;3;FALSO)</t>
  </si>
  <si>
    <t>=SEERRO(PROCV(A2;'[Planilha externa.xlsx]Dados'!$A:$D;4;FALSO);"-")</t>
  </si>
  <si>
    <t>Fórmulas usadas nesta aula</t>
  </si>
  <si>
    <t>=PROCV(A2;'[Planilha externa.xlsx]Dados'!$A:$B;2;0)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</si>
</sst>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extern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lcom-my.sharepoint.com/personal/felipe_viana2_enel_com/Documents/Documentos/Faculdade/Udemy/Excell/Se&#231;&#227;o%206/89,1.Planilha+externa.xlsx" TargetMode="External"/><Relationship Id="rId1" Type="http://schemas.openxmlformats.org/officeDocument/2006/relationships/externalLinkPath" Target="89,1.Planilha+exter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</sheetNames>
    <sheetDataSet>
      <sheetData sheetId="0">
        <row r="1">
          <cell r="A1" t="str">
            <v>CPF</v>
          </cell>
          <cell r="B1" t="str">
            <v>Nome</v>
          </cell>
          <cell r="C1" t="str">
            <v>Idade</v>
          </cell>
          <cell r="D1" t="str">
            <v>Salário</v>
          </cell>
        </row>
        <row r="2">
          <cell r="A2" t="str">
            <v>123.456.789-10</v>
          </cell>
          <cell r="B2" t="str">
            <v>Bruna Alves</v>
          </cell>
          <cell r="C2">
            <v>23</v>
          </cell>
          <cell r="D2">
            <v>2000</v>
          </cell>
        </row>
        <row r="3">
          <cell r="A3" t="str">
            <v>123.456.789-11</v>
          </cell>
          <cell r="B3" t="str">
            <v>Afonso Alves</v>
          </cell>
          <cell r="C3">
            <v>23</v>
          </cell>
          <cell r="D3">
            <v>2500</v>
          </cell>
        </row>
        <row r="4">
          <cell r="A4" t="str">
            <v>123.456.789-12</v>
          </cell>
          <cell r="B4" t="str">
            <v>Caroline Gois Abreu</v>
          </cell>
          <cell r="C4">
            <v>50</v>
          </cell>
          <cell r="D4">
            <v>3000</v>
          </cell>
        </row>
        <row r="5">
          <cell r="A5" t="str">
            <v>123.456.789-13</v>
          </cell>
          <cell r="B5" t="str">
            <v>Henrique Oliveira Silva</v>
          </cell>
          <cell r="C5">
            <v>26</v>
          </cell>
          <cell r="D5">
            <v>3000</v>
          </cell>
        </row>
        <row r="6">
          <cell r="A6" t="str">
            <v>123.456.789-14</v>
          </cell>
          <cell r="B6" t="str">
            <v>Kaliane Almeida Abreu</v>
          </cell>
          <cell r="C6">
            <v>26</v>
          </cell>
          <cell r="D6">
            <v>2000</v>
          </cell>
        </row>
        <row r="7">
          <cell r="A7" t="str">
            <v>123.456.789-15</v>
          </cell>
          <cell r="B7" t="str">
            <v>Ryan Merryman</v>
          </cell>
          <cell r="C7">
            <v>26</v>
          </cell>
          <cell r="D7">
            <v>2000</v>
          </cell>
        </row>
        <row r="8">
          <cell r="A8" t="str">
            <v>123.456.789-16</v>
          </cell>
          <cell r="B8" t="str">
            <v>Robson Martins</v>
          </cell>
          <cell r="C8">
            <v>23</v>
          </cell>
          <cell r="D8">
            <v>2000</v>
          </cell>
        </row>
        <row r="9">
          <cell r="A9" t="str">
            <v>123.456.789-17</v>
          </cell>
          <cell r="B9" t="str">
            <v>Thiago Santana Gomes</v>
          </cell>
          <cell r="C9">
            <v>30</v>
          </cell>
          <cell r="D9">
            <v>5000</v>
          </cell>
        </row>
        <row r="10">
          <cell r="A10" t="str">
            <v>123.456.789-18</v>
          </cell>
          <cell r="B10" t="str">
            <v>Erika Souza Aguiar</v>
          </cell>
          <cell r="C10">
            <v>30</v>
          </cell>
          <cell r="D10">
            <v>5000</v>
          </cell>
        </row>
        <row r="11">
          <cell r="A11" t="str">
            <v>123.456.789-19</v>
          </cell>
          <cell r="B11" t="str">
            <v>Felipe Borges Aguiar</v>
          </cell>
          <cell r="C11">
            <v>30</v>
          </cell>
          <cell r="D11">
            <v>5000</v>
          </cell>
        </row>
        <row r="12">
          <cell r="A12" t="str">
            <v>123.456.789-20</v>
          </cell>
          <cell r="B12" t="str">
            <v>Tiago de Oliveira</v>
          </cell>
          <cell r="C12">
            <v>30</v>
          </cell>
          <cell r="D12">
            <v>4000</v>
          </cell>
        </row>
        <row r="13">
          <cell r="A13" t="str">
            <v>123.456.789-21</v>
          </cell>
          <cell r="B13" t="str">
            <v>Frederico Rubens</v>
          </cell>
          <cell r="C13">
            <v>30</v>
          </cell>
          <cell r="D13">
            <v>4000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"/>
    </sheetNames>
    <sheetDataSet>
      <sheetData sheetId="0">
        <row r="1">
          <cell r="A1" t="str">
            <v>CPF</v>
          </cell>
          <cell r="B1" t="str">
            <v>Nome</v>
          </cell>
          <cell r="C1" t="str">
            <v>Idade</v>
          </cell>
          <cell r="D1" t="str">
            <v>Salário</v>
          </cell>
        </row>
        <row r="2">
          <cell r="A2" t="str">
            <v>123.456.789-10</v>
          </cell>
          <cell r="B2" t="str">
            <v>Bruna Alves</v>
          </cell>
          <cell r="C2">
            <v>23</v>
          </cell>
          <cell r="D2">
            <v>2000</v>
          </cell>
        </row>
        <row r="3">
          <cell r="A3" t="str">
            <v>123.456.789-11</v>
          </cell>
          <cell r="B3" t="str">
            <v>Afonso Alves</v>
          </cell>
          <cell r="C3">
            <v>23</v>
          </cell>
          <cell r="D3">
            <v>2500</v>
          </cell>
        </row>
        <row r="4">
          <cell r="A4" t="str">
            <v>123.456.789-12</v>
          </cell>
          <cell r="B4" t="str">
            <v>Caroline Gois Abreu</v>
          </cell>
          <cell r="C4">
            <v>50</v>
          </cell>
          <cell r="D4">
            <v>3000</v>
          </cell>
        </row>
        <row r="5">
          <cell r="A5" t="str">
            <v>123.456.789-13</v>
          </cell>
          <cell r="B5" t="str">
            <v>Henrique Oliveira Silva</v>
          </cell>
          <cell r="C5">
            <v>26</v>
          </cell>
          <cell r="D5">
            <v>3000</v>
          </cell>
        </row>
        <row r="6">
          <cell r="A6" t="str">
            <v>123.456.789-14</v>
          </cell>
          <cell r="B6" t="str">
            <v>Kaliane Almeida Abreu</v>
          </cell>
          <cell r="C6">
            <v>26</v>
          </cell>
          <cell r="D6">
            <v>2000</v>
          </cell>
        </row>
        <row r="7">
          <cell r="A7" t="str">
            <v>123.456.789-15</v>
          </cell>
          <cell r="B7" t="str">
            <v>Ryan Merryman</v>
          </cell>
          <cell r="C7">
            <v>26</v>
          </cell>
          <cell r="D7">
            <v>2000</v>
          </cell>
        </row>
        <row r="8">
          <cell r="A8" t="str">
            <v>123.456.789-16</v>
          </cell>
          <cell r="B8" t="str">
            <v>Robson Martins</v>
          </cell>
          <cell r="C8">
            <v>23</v>
          </cell>
          <cell r="D8">
            <v>2000</v>
          </cell>
        </row>
        <row r="9">
          <cell r="A9" t="str">
            <v>123.456.789-17</v>
          </cell>
          <cell r="B9" t="str">
            <v>Thiago Santana Gomes</v>
          </cell>
          <cell r="C9">
            <v>30</v>
          </cell>
          <cell r="D9">
            <v>5000</v>
          </cell>
        </row>
        <row r="10">
          <cell r="A10" t="str">
            <v>123.456.789-18</v>
          </cell>
          <cell r="B10" t="str">
            <v>Erika Souza Aguiar</v>
          </cell>
          <cell r="C10">
            <v>30</v>
          </cell>
          <cell r="D10">
            <v>5000</v>
          </cell>
        </row>
        <row r="11">
          <cell r="A11" t="str">
            <v>123.456.789-19</v>
          </cell>
          <cell r="B11" t="str">
            <v>Felipe Borges Aguiar</v>
          </cell>
          <cell r="C11">
            <v>30</v>
          </cell>
          <cell r="D11">
            <v>5000</v>
          </cell>
        </row>
        <row r="12">
          <cell r="A12" t="str">
            <v>123.456.789-20</v>
          </cell>
          <cell r="B12" t="str">
            <v>Tiago de Oliveira</v>
          </cell>
          <cell r="C12">
            <v>30</v>
          </cell>
          <cell r="D12">
            <v>4000</v>
          </cell>
        </row>
        <row r="13">
          <cell r="A13" t="str">
            <v>123.456.789-21</v>
          </cell>
          <cell r="B13" t="str">
            <v>Frederico Rubens</v>
          </cell>
          <cell r="C13">
            <v>30</v>
          </cell>
          <cell r="D13">
            <v>4000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A1:F13"/>
  <sheetViews>
    <sheetView showGridLines="0" zoomScaleNormal="100" workbookViewId="0"/>
  </sheetViews>
  <sheetFormatPr defaultRowHeight="14.5" x14ac:dyDescent="0.35"/>
  <cols>
    <col min="1" max="1" width="19.453125" customWidth="1"/>
    <col min="2" max="2" width="21.7265625" style="7" bestFit="1" customWidth="1"/>
    <col min="3" max="3" width="20.7265625" style="7" customWidth="1"/>
    <col min="4" max="4" width="10" style="7" bestFit="1" customWidth="1"/>
  </cols>
  <sheetData>
    <row r="1" spans="1:6" x14ac:dyDescent="0.35">
      <c r="A1" s="1" t="s">
        <v>1</v>
      </c>
      <c r="B1" s="3" t="s">
        <v>0</v>
      </c>
      <c r="C1" s="3" t="s">
        <v>14</v>
      </c>
      <c r="D1" s="4" t="s">
        <v>15</v>
      </c>
    </row>
    <row r="2" spans="1:6" x14ac:dyDescent="0.35">
      <c r="A2" s="2" t="s">
        <v>2</v>
      </c>
      <c r="B2" s="5" t="str">
        <f>VLOOKUP(A2,[1]Dados!$A:$B,2,0)</f>
        <v>Bruna Alves</v>
      </c>
      <c r="C2" s="5">
        <f>VLOOKUP(A2,[1]Dados!$A:$C,3,FALSE)</f>
        <v>23</v>
      </c>
      <c r="D2" s="6">
        <f>IFERROR(VLOOKUP(A2,[1]Dados!$A:$D,4,FALSE),"-")</f>
        <v>2000</v>
      </c>
      <c r="F2" t="s">
        <v>18</v>
      </c>
    </row>
    <row r="3" spans="1:6" x14ac:dyDescent="0.35">
      <c r="A3" s="2" t="s">
        <v>3</v>
      </c>
      <c r="B3" s="5" t="str">
        <f>VLOOKUP(A3,[1]Dados!$A:$B,2,0)</f>
        <v>Afonso Alves</v>
      </c>
      <c r="C3" s="5">
        <f>VLOOKUP(A3,[1]Dados!$A:$C,3,FALSE)</f>
        <v>23</v>
      </c>
      <c r="D3" s="6">
        <f>IFERROR(VLOOKUP(A3,[1]Dados!$A:$D,4,FALSE),"-")</f>
        <v>2500</v>
      </c>
      <c r="F3" s="8" t="s">
        <v>19</v>
      </c>
    </row>
    <row r="4" spans="1:6" x14ac:dyDescent="0.35">
      <c r="A4" s="2" t="s">
        <v>4</v>
      </c>
      <c r="B4" s="5" t="str">
        <f>VLOOKUP(A4,[1]Dados!$A:$B,2,0)</f>
        <v>Caroline Gois Abreu</v>
      </c>
      <c r="C4" s="5">
        <f>VLOOKUP(A4,[1]Dados!$A:$C,3,FALSE)</f>
        <v>50</v>
      </c>
      <c r="D4" s="6">
        <f>IFERROR(VLOOKUP(A4,[1]Dados!$A:$D,4,FALSE),"-")</f>
        <v>3000</v>
      </c>
      <c r="F4" s="8" t="s">
        <v>16</v>
      </c>
    </row>
    <row r="5" spans="1:6" x14ac:dyDescent="0.35">
      <c r="A5" s="2" t="s">
        <v>5</v>
      </c>
      <c r="B5" s="5" t="str">
        <f>VLOOKUP(A5,[1]Dados!$A:$B,2,0)</f>
        <v>Henrique Oliveira Silva</v>
      </c>
      <c r="C5" s="5">
        <f>VLOOKUP(A5,[1]Dados!$A:$C,3,FALSE)</f>
        <v>26</v>
      </c>
      <c r="D5" s="6">
        <f>IFERROR(VLOOKUP(A5,[1]Dados!$A:$D,4,FALSE),"-")</f>
        <v>3000</v>
      </c>
      <c r="F5" s="8" t="s">
        <v>17</v>
      </c>
    </row>
    <row r="6" spans="1:6" x14ac:dyDescent="0.35">
      <c r="A6" s="2" t="s">
        <v>6</v>
      </c>
      <c r="B6" s="5" t="str">
        <f>VLOOKUP(A6,[1]Dados!$A:$B,2,0)</f>
        <v>Kaliane Almeida Abreu</v>
      </c>
      <c r="C6" s="5">
        <f>VLOOKUP(A6,[1]Dados!$A:$C,3,FALSE)</f>
        <v>26</v>
      </c>
      <c r="D6" s="6">
        <f>IFERROR(VLOOKUP(A6,[1]Dados!$A:$D,4,FALSE),"-")</f>
        <v>2000</v>
      </c>
    </row>
    <row r="7" spans="1:6" x14ac:dyDescent="0.35">
      <c r="A7" s="2" t="s">
        <v>7</v>
      </c>
      <c r="B7" s="5" t="str">
        <f>VLOOKUP(A7,[1]Dados!$A:$B,2,0)</f>
        <v>Ryan Merryman</v>
      </c>
      <c r="C7" s="5">
        <f>VLOOKUP(A7,[1]Dados!$A:$C,3,FALSE)</f>
        <v>26</v>
      </c>
      <c r="D7" s="6">
        <f>IFERROR(VLOOKUP(A7,[1]Dados!$A:$D,4,FALSE),"-")</f>
        <v>2000</v>
      </c>
    </row>
    <row r="8" spans="1:6" x14ac:dyDescent="0.35">
      <c r="A8" s="2" t="s">
        <v>8</v>
      </c>
      <c r="B8" s="5" t="str">
        <f>VLOOKUP(A8,[1]Dados!$A:$B,2,0)</f>
        <v>Robson Martins</v>
      </c>
      <c r="C8" s="5">
        <f>VLOOKUP(A8,[1]Dados!$A:$C,3,FALSE)</f>
        <v>23</v>
      </c>
      <c r="D8" s="6">
        <f>IFERROR(VLOOKUP(A8,[1]Dados!$A:$D,4,FALSE),"-")</f>
        <v>2000</v>
      </c>
    </row>
    <row r="9" spans="1:6" x14ac:dyDescent="0.35">
      <c r="A9" s="2" t="s">
        <v>9</v>
      </c>
      <c r="B9" s="5" t="str">
        <f>VLOOKUP(A9,[1]Dados!$A:$B,2,0)</f>
        <v>Thiago Santana Gomes</v>
      </c>
      <c r="C9" s="5">
        <f>VLOOKUP(A9,[1]Dados!$A:$C,3,FALSE)</f>
        <v>30</v>
      </c>
      <c r="D9" s="6">
        <f>IFERROR(VLOOKUP(A9,[1]Dados!$A:$D,4,FALSE),"-")</f>
        <v>5000</v>
      </c>
    </row>
    <row r="10" spans="1:6" x14ac:dyDescent="0.35">
      <c r="A10" s="2" t="s">
        <v>10</v>
      </c>
      <c r="B10" s="5" t="str">
        <f>VLOOKUP(A10,[1]Dados!$A:$B,2,0)</f>
        <v>Erika Souza Aguiar</v>
      </c>
      <c r="C10" s="5">
        <f>VLOOKUP(A10,[1]Dados!$A:$C,3,FALSE)</f>
        <v>30</v>
      </c>
      <c r="D10" s="6">
        <f>IFERROR(VLOOKUP(A10,[1]Dados!$A:$D,4,FALSE),"-")</f>
        <v>5000</v>
      </c>
    </row>
    <row r="11" spans="1:6" x14ac:dyDescent="0.35">
      <c r="A11" s="2" t="s">
        <v>11</v>
      </c>
      <c r="B11" s="5" t="str">
        <f>VLOOKUP(A11,[1]Dados!$A:$B,2,0)</f>
        <v>Felipe Borges Aguiar</v>
      </c>
      <c r="C11" s="5">
        <f>VLOOKUP(A11,[1]Dados!$A:$C,3,FALSE)</f>
        <v>30</v>
      </c>
      <c r="D11" s="6">
        <f>IFERROR(VLOOKUP(A11,[1]Dados!$A:$D,4,FALSE),"-")</f>
        <v>5000</v>
      </c>
    </row>
    <row r="12" spans="1:6" x14ac:dyDescent="0.35">
      <c r="A12" s="2" t="s">
        <v>12</v>
      </c>
      <c r="B12" s="5" t="str">
        <f>VLOOKUP(A12,[1]Dados!$A:$B,2,0)</f>
        <v>Tiago de Oliveira</v>
      </c>
      <c r="C12" s="5">
        <f>VLOOKUP(A12,[1]Dados!$A:$C,3,FALSE)</f>
        <v>30</v>
      </c>
      <c r="D12" s="6">
        <f>IFERROR(VLOOKUP(A12,[1]Dados!$A:$D,4,FALSE),"-")</f>
        <v>4000</v>
      </c>
    </row>
    <row r="13" spans="1:6" x14ac:dyDescent="0.35">
      <c r="A13" s="2" t="s">
        <v>13</v>
      </c>
      <c r="B13" s="5" t="str">
        <f>VLOOKUP(A13,[1]Dados!$A:$B,2,0)</f>
        <v>Frederico Rubens</v>
      </c>
      <c r="C13" s="5">
        <f>VLOOKUP(A13,[1]Dados!$A:$C,3,FALSE)</f>
        <v>30</v>
      </c>
      <c r="D13" s="6">
        <f>IFERROR(VLOOKUP(A13,[1]Dados!$A:$D,4,FALSE),"-")</f>
        <v>4000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D7A3-9425-464D-824E-D87272A05076}">
  <dimension ref="A1:D13"/>
  <sheetViews>
    <sheetView showGridLines="0" tabSelected="1" zoomScaleNormal="100" workbookViewId="0">
      <selection activeCell="D2" sqref="D2:D13"/>
    </sheetView>
  </sheetViews>
  <sheetFormatPr defaultRowHeight="14.5" x14ac:dyDescent="0.35"/>
  <cols>
    <col min="1" max="1" width="17.81640625" customWidth="1"/>
    <col min="2" max="2" width="21.7265625" style="7" bestFit="1" customWidth="1"/>
    <col min="3" max="3" width="20.7265625" style="7" customWidth="1"/>
    <col min="4" max="4" width="10" style="7" bestFit="1" customWidth="1"/>
  </cols>
  <sheetData>
    <row r="1" spans="1:4" x14ac:dyDescent="0.35">
      <c r="A1" s="1" t="s">
        <v>1</v>
      </c>
      <c r="B1" s="3" t="s">
        <v>0</v>
      </c>
      <c r="C1" s="3" t="s">
        <v>14</v>
      </c>
      <c r="D1" s="4" t="s">
        <v>15</v>
      </c>
    </row>
    <row r="2" spans="1:4" x14ac:dyDescent="0.35">
      <c r="A2" s="2" t="s">
        <v>2</v>
      </c>
      <c r="B2" s="5" t="str">
        <f>VLOOKUP($A2,[2]Dados!$A:$D,2,0)</f>
        <v>Bruna Alves</v>
      </c>
      <c r="C2" s="5">
        <f>VLOOKUP($A2,[2]Dados!$A:$D,3,0)</f>
        <v>23</v>
      </c>
      <c r="D2" s="5">
        <f>VLOOKUP($A2,[2]Dados!$A:$D,4,0)</f>
        <v>2000</v>
      </c>
    </row>
    <row r="3" spans="1:4" x14ac:dyDescent="0.35">
      <c r="A3" s="2" t="s">
        <v>3</v>
      </c>
      <c r="B3" s="5" t="str">
        <f>VLOOKUP($A3,[2]Dados!$A:$D,2,0)</f>
        <v>Afonso Alves</v>
      </c>
      <c r="C3" s="5">
        <f>VLOOKUP($A3,[2]Dados!$A:$D,3,0)</f>
        <v>23</v>
      </c>
      <c r="D3" s="5">
        <f>VLOOKUP($A3,[2]Dados!$A:$D,4,0)</f>
        <v>2500</v>
      </c>
    </row>
    <row r="4" spans="1:4" x14ac:dyDescent="0.35">
      <c r="A4" s="2" t="s">
        <v>4</v>
      </c>
      <c r="B4" s="5" t="str">
        <f>VLOOKUP($A4,[2]Dados!$A:$D,2,0)</f>
        <v>Caroline Gois Abreu</v>
      </c>
      <c r="C4" s="5">
        <f>VLOOKUP($A4,[2]Dados!$A:$D,3,0)</f>
        <v>50</v>
      </c>
      <c r="D4" s="5">
        <f>VLOOKUP($A4,[2]Dados!$A:$D,4,0)</f>
        <v>3000</v>
      </c>
    </row>
    <row r="5" spans="1:4" x14ac:dyDescent="0.35">
      <c r="A5" s="2" t="s">
        <v>5</v>
      </c>
      <c r="B5" s="5" t="str">
        <f>VLOOKUP($A5,[2]Dados!$A:$D,2,0)</f>
        <v>Henrique Oliveira Silva</v>
      </c>
      <c r="C5" s="5">
        <f>VLOOKUP($A5,[2]Dados!$A:$D,3,0)</f>
        <v>26</v>
      </c>
      <c r="D5" s="5">
        <f>VLOOKUP($A5,[2]Dados!$A:$D,4,0)</f>
        <v>3000</v>
      </c>
    </row>
    <row r="6" spans="1:4" x14ac:dyDescent="0.35">
      <c r="A6" s="2" t="s">
        <v>6</v>
      </c>
      <c r="B6" s="5" t="str">
        <f>VLOOKUP($A6,[2]Dados!$A:$D,2,0)</f>
        <v>Kaliane Almeida Abreu</v>
      </c>
      <c r="C6" s="5">
        <f>VLOOKUP($A6,[2]Dados!$A:$D,3,0)</f>
        <v>26</v>
      </c>
      <c r="D6" s="5">
        <f>VLOOKUP($A6,[2]Dados!$A:$D,4,0)</f>
        <v>2000</v>
      </c>
    </row>
    <row r="7" spans="1:4" x14ac:dyDescent="0.35">
      <c r="A7" s="2" t="s">
        <v>7</v>
      </c>
      <c r="B7" s="5" t="str">
        <f>VLOOKUP($A7,[2]Dados!$A:$D,2,0)</f>
        <v>Ryan Merryman</v>
      </c>
      <c r="C7" s="5">
        <f>VLOOKUP($A7,[2]Dados!$A:$D,3,0)</f>
        <v>26</v>
      </c>
      <c r="D7" s="5">
        <f>VLOOKUP($A7,[2]Dados!$A:$D,4,0)</f>
        <v>2000</v>
      </c>
    </row>
    <row r="8" spans="1:4" x14ac:dyDescent="0.35">
      <c r="A8" s="2" t="s">
        <v>8</v>
      </c>
      <c r="B8" s="5" t="str">
        <f>VLOOKUP($A8,[2]Dados!$A:$D,2,0)</f>
        <v>Robson Martins</v>
      </c>
      <c r="C8" s="5">
        <f>VLOOKUP($A8,[2]Dados!$A:$D,3,0)</f>
        <v>23</v>
      </c>
      <c r="D8" s="5">
        <f>VLOOKUP($A8,[2]Dados!$A:$D,4,0)</f>
        <v>2000</v>
      </c>
    </row>
    <row r="9" spans="1:4" x14ac:dyDescent="0.35">
      <c r="A9" s="2" t="s">
        <v>9</v>
      </c>
      <c r="B9" s="5" t="str">
        <f>VLOOKUP($A9,[2]Dados!$A:$D,2,0)</f>
        <v>Thiago Santana Gomes</v>
      </c>
      <c r="C9" s="5">
        <f>VLOOKUP($A9,[2]Dados!$A:$D,3,0)</f>
        <v>30</v>
      </c>
      <c r="D9" s="5">
        <f>VLOOKUP($A9,[2]Dados!$A:$D,4,0)</f>
        <v>5000</v>
      </c>
    </row>
    <row r="10" spans="1:4" x14ac:dyDescent="0.35">
      <c r="A10" s="2" t="s">
        <v>10</v>
      </c>
      <c r="B10" s="5" t="str">
        <f>VLOOKUP($A10,[2]Dados!$A:$D,2,0)</f>
        <v>Erika Souza Aguiar</v>
      </c>
      <c r="C10" s="5">
        <f>VLOOKUP($A10,[2]Dados!$A:$D,3,0)</f>
        <v>30</v>
      </c>
      <c r="D10" s="5">
        <f>VLOOKUP($A10,[2]Dados!$A:$D,4,0)</f>
        <v>5000</v>
      </c>
    </row>
    <row r="11" spans="1:4" x14ac:dyDescent="0.35">
      <c r="A11" s="2" t="s">
        <v>11</v>
      </c>
      <c r="B11" s="5" t="str">
        <f>VLOOKUP($A11,[2]Dados!$A:$D,2,0)</f>
        <v>Felipe Borges Aguiar</v>
      </c>
      <c r="C11" s="5">
        <f>VLOOKUP($A11,[2]Dados!$A:$D,3,0)</f>
        <v>30</v>
      </c>
      <c r="D11" s="5">
        <f>VLOOKUP($A11,[2]Dados!$A:$D,4,0)</f>
        <v>5000</v>
      </c>
    </row>
    <row r="12" spans="1:4" x14ac:dyDescent="0.35">
      <c r="A12" s="2" t="s">
        <v>12</v>
      </c>
      <c r="B12" s="5" t="str">
        <f>VLOOKUP($A12,[2]Dados!$A:$D,2,0)</f>
        <v>Tiago de Oliveira</v>
      </c>
      <c r="C12" s="5">
        <f>VLOOKUP($A12,[2]Dados!$A:$D,3,0)</f>
        <v>30</v>
      </c>
      <c r="D12" s="5">
        <f>VLOOKUP($A12,[2]Dados!$A:$D,4,0)</f>
        <v>4000</v>
      </c>
    </row>
    <row r="13" spans="1:4" x14ac:dyDescent="0.35">
      <c r="A13" s="2" t="s">
        <v>13</v>
      </c>
      <c r="B13" s="5" t="str">
        <f>VLOOKUP($A13,[2]Dados!$A:$D,2,0)</f>
        <v>Frederico Rubens</v>
      </c>
      <c r="C13" s="5">
        <f>VLOOKUP($A13,[2]Dados!$A:$D,3,0)</f>
        <v>30</v>
      </c>
      <c r="D13" s="5">
        <f>VLOOKUP($A13,[2]Dados!$A:$D,4,0)</f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PROCV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2026-04-16T20:28:04Z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2026-04-16T20:23:05Z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57eddb8b-e9aa-4278-97d7-838f2ffcd5aa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
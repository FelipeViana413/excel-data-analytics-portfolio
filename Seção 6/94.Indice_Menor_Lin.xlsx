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29" documentId="13_ncr:1_{C4467AAE-FA82-4D81-9DE0-DE77BD8F06F2}" xr6:coauthVersionLast="47" xr6:coauthVersionMax="47" xr10:uidLastSave="{BE776763-6AED-4D4A-A14E-14327BD1F62E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G13" i="5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G17" i="5" a="1"/>
  <c r="G17" i="5" s="1"/>
  <c r="G12" i="5"/>
  <c r="G11" i="5"/>
  <c r="F14" i="4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G17" i="4" a="1"/>
  <c r="G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17" i="4" a="1"/>
  <c r="F17" i="4" s="1"/>
  <c r="G13" i="4"/>
  <c r="G12" i="4"/>
  <c r="G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<sst xmlns="http://schemas.openxmlformats.org/spreadsheetml/2006/main" count="63" uniqueCount="16">
  <si>
    <t>Cliente</t>
  </si>
  <si>
    <t>Valor</t>
  </si>
  <si>
    <t>Ana</t>
  </si>
  <si>
    <t>Iasmin</t>
  </si>
  <si>
    <t>Pedro</t>
  </si>
  <si>
    <t>ÍNDICE</t>
  </si>
  <si>
    <t>LIN</t>
  </si>
  <si>
    <t>MENOR</t>
  </si>
  <si>
    <t>Allan</t>
  </si>
  <si>
    <t>Curso de Excel do Básico ao Avançado</t>
  </si>
  <si>
    <t>Professor:</t>
  </si>
  <si>
    <t xml:space="preserve">     Clevison Santos</t>
  </si>
  <si>
    <t>Aula:</t>
  </si>
  <si>
    <t xml:space="preserve">     ÍNDICE / INDEX</t>
  </si>
  <si>
    <t xml:space="preserve">     LIN / ROW</t>
  </si>
  <si>
    <t xml:space="preserve">     MENOR /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</si>
</sst>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0" borderId="2" xfId="0" applyFont="1" applyBorder="1"/>
    <xf numFmtId="0" fontId="5" fillId="0" borderId="0" xfId="0" applyFont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K31"/>
  <sheetViews>
    <sheetView showGridLines="0" topLeftCell="A6" workbookViewId="0">
      <selection activeCell="B16" sqref="B16"/>
    </sheetView>
  </sheetViews>
  <sheetFormatPr defaultRowHeight="14.5" x14ac:dyDescent="0.35"/>
  <cols>
    <col min="2" max="2" width="15.453125" style="1" customWidth="1"/>
    <col min="3" max="3" width="16.90625" customWidth="1"/>
    <col min="6" max="6" width="16.54296875" customWidth="1"/>
    <col min="7" max="7" width="16.453125" customWidth="1"/>
    <col min="8" max="8" width="2.6328125" customWidth="1"/>
  </cols>
  <sheetData>
    <row r="1" spans="2:11" s="4" customFormat="1" x14ac:dyDescent="0.35">
      <c r="E1" s="5"/>
      <c r="F1" s="5"/>
      <c r="H1" s="5"/>
      <c r="I1" s="5"/>
    </row>
    <row r="2" spans="2:11" s="4" customFormat="1" ht="15.65" customHeight="1" x14ac:dyDescent="0.35">
      <c r="B2" s="13" t="s">
        <v>9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s="4" customFormat="1" ht="14.4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2:11" s="4" customFormat="1" ht="14.4" customHeight="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2:11" s="4" customFormat="1" ht="23.5" x14ac:dyDescent="0.55000000000000004">
      <c r="B5" s="12" t="s">
        <v>10</v>
      </c>
      <c r="C5" s="12"/>
      <c r="D5" s="6" t="s">
        <v>11</v>
      </c>
      <c r="E5" s="5"/>
      <c r="F5" s="5"/>
      <c r="H5" s="5"/>
      <c r="I5" s="5"/>
    </row>
    <row r="6" spans="2:11" s="4" customFormat="1" ht="23.5" x14ac:dyDescent="0.55000000000000004">
      <c r="B6" s="12" t="s">
        <v>12</v>
      </c>
      <c r="C6" s="12"/>
      <c r="D6" s="6" t="s">
        <v>13</v>
      </c>
      <c r="E6" s="5"/>
      <c r="F6" s="5"/>
      <c r="H6" s="5"/>
      <c r="I6" s="5"/>
    </row>
    <row r="7" spans="2:11" s="4" customFormat="1" ht="23.5" x14ac:dyDescent="0.55000000000000004">
      <c r="B7" s="12" t="s">
        <v>12</v>
      </c>
      <c r="C7" s="12"/>
      <c r="D7" s="6" t="s">
        <v>14</v>
      </c>
      <c r="E7" s="5"/>
      <c r="F7" s="5"/>
      <c r="H7" s="5"/>
      <c r="I7" s="5"/>
    </row>
    <row r="8" spans="2:11" s="4" customFormat="1" ht="23.5" x14ac:dyDescent="0.55000000000000004">
      <c r="B8" s="12" t="s">
        <v>12</v>
      </c>
      <c r="C8" s="12"/>
      <c r="D8" s="6" t="s">
        <v>15</v>
      </c>
      <c r="E8" s="5"/>
      <c r="F8" s="5"/>
      <c r="H8" s="5"/>
      <c r="I8" s="5"/>
    </row>
    <row r="9" spans="2:11" s="4" customFormat="1" x14ac:dyDescent="0.35">
      <c r="E9" s="5"/>
      <c r="F9" s="5"/>
      <c r="H9" s="5"/>
      <c r="I9" s="5"/>
    </row>
    <row r="11" spans="2:11" ht="21" x14ac:dyDescent="0.5">
      <c r="B11"/>
      <c r="F11" s="7" t="s">
        <v>5</v>
      </c>
      <c r="G11" s="7" t="str">
        <f>INDEX(B17:C31,2,1)</f>
        <v>Allan</v>
      </c>
      <c r="I11" s="3"/>
    </row>
    <row r="12" spans="2:11" ht="21" x14ac:dyDescent="0.5">
      <c r="B12"/>
      <c r="F12" s="7" t="s">
        <v>6</v>
      </c>
      <c r="G12" s="7">
        <f>ROW(D18)</f>
        <v>18</v>
      </c>
      <c r="I12" s="3"/>
    </row>
    <row r="13" spans="2:11" ht="21" x14ac:dyDescent="0.5">
      <c r="B13"/>
      <c r="F13" s="7" t="s">
        <v>7</v>
      </c>
      <c r="G13" s="7">
        <f>SMALL(B16:C31,2)</f>
        <v>46.9</v>
      </c>
      <c r="I13" s="3"/>
    </row>
    <row r="14" spans="2:11" ht="21" x14ac:dyDescent="0.5">
      <c r="B14"/>
      <c r="F14" s="8" t="str">
        <f>B19</f>
        <v>Pedro</v>
      </c>
      <c r="G14" s="2"/>
    </row>
    <row r="15" spans="2:11" x14ac:dyDescent="0.35">
      <c r="B15"/>
    </row>
    <row r="16" spans="2:11" ht="21" x14ac:dyDescent="0.5">
      <c r="B16" s="9" t="s">
        <v>0</v>
      </c>
      <c r="C16" s="10" t="s">
        <v>1</v>
      </c>
      <c r="F16" s="9" t="s">
        <v>0</v>
      </c>
      <c r="G16" s="10" t="s">
        <v>1</v>
      </c>
    </row>
    <row r="17" spans="2:9" ht="21" x14ac:dyDescent="0.5">
      <c r="B17" s="7" t="s">
        <v>2</v>
      </c>
      <c r="C17" s="11">
        <v>89.99</v>
      </c>
      <c r="F17" s="7" t="str">
        <f t="array" ref="F17">IFERROR(INDEX($B$17:$C$31,SMALL(IF($B$17:$B$31=$F$14,ROW($B$17:$B$31)-16),ROW(A1)),1),"")</f>
        <v>Pedro</v>
      </c>
      <c r="G17" s="7">
        <f t="array" ref="G17">IFERROR(INDEX($B$17:$C$31,SMALL(IF($B$17:$B$31=$F$14,ROW($B$17:$B$31)-16),ROW(B1)),2),"")</f>
        <v>153.4</v>
      </c>
      <c r="I17" s="3"/>
    </row>
    <row r="18" spans="2:9" ht="21" x14ac:dyDescent="0.5">
      <c r="B18" s="7" t="s">
        <v>8</v>
      </c>
      <c r="C18" s="11">
        <v>69.989999999999995</v>
      </c>
      <c r="F18" s="7" t="str">
        <f t="array" ref="F18">IFERROR(INDEX($B$17:$C$31,SMALL(IF($B$17:$B$31=$F$14,ROW($B$17:$B$31)-16),ROW(A2)),1),"")</f>
        <v>Pedro</v>
      </c>
      <c r="G18" s="7">
        <f t="array" ref="G18">IFERROR(INDEX($B$17:$C$31,SMALL(IF($B$17:$B$31=$F$14,ROW($B$17:$B$31)-16),ROW(B2)),2),"")</f>
        <v>46.9</v>
      </c>
    </row>
    <row r="19" spans="2:9" ht="21" x14ac:dyDescent="0.5">
      <c r="B19" s="7" t="s">
        <v>4</v>
      </c>
      <c r="C19" s="11">
        <v>153.4</v>
      </c>
      <c r="F19" s="7" t="str">
        <f t="array" ref="F19">IFERROR(INDEX($B$17:$C$31,SMALL(IF($B$17:$B$31=$F$14,ROW($B$17:$B$31)-16),ROW(A3)),1),"")</f>
        <v>Pedro</v>
      </c>
      <c r="G19" s="7">
        <f t="array" ref="G19">IFERROR(INDEX($B$17:$C$31,SMALL(IF($B$17:$B$31=$F$14,ROW($B$17:$B$31)-16),ROW(B3)),2),"")</f>
        <v>89.9</v>
      </c>
    </row>
    <row r="20" spans="2:9" ht="21" x14ac:dyDescent="0.5">
      <c r="B20" s="7" t="s">
        <v>3</v>
      </c>
      <c r="C20" s="11">
        <v>148.56</v>
      </c>
      <c r="F20" s="7" t="str">
        <f t="array" ref="F20">IFERROR(INDEX($B$17:$C$31,SMALL(IF($B$17:$B$31=$F$14,ROW($B$17:$B$31)-16),ROW(A4)),1),"")</f>
        <v/>
      </c>
      <c r="G20" s="7" t="str">
        <f t="array" ref="G20">IFERROR(INDEX($B$17:$C$31,SMALL(IF($B$17:$B$31=$F$14,ROW($B$17:$B$31)-16),ROW(B4)),2),"")</f>
        <v/>
      </c>
    </row>
    <row r="21" spans="2:9" ht="21" x14ac:dyDescent="0.5">
      <c r="B21" s="7" t="s">
        <v>2</v>
      </c>
      <c r="C21" s="11">
        <v>146.13999999999999</v>
      </c>
      <c r="F21" s="7" t="str">
        <f t="array" ref="F21">IFERROR(INDEX($B$17:$C$31,SMALL(IF($B$17:$B$31=$F$14,ROW($B$17:$B$31)-16),ROW(A5)),1),"")</f>
        <v/>
      </c>
      <c r="G21" s="7" t="str">
        <f t="array" ref="G21">IFERROR(INDEX($B$17:$C$31,SMALL(IF($B$17:$B$31=$F$14,ROW($B$17:$B$31)-16),ROW(B5)),2),"")</f>
        <v/>
      </c>
    </row>
    <row r="22" spans="2:9" ht="21" x14ac:dyDescent="0.5">
      <c r="B22" s="7" t="s">
        <v>3</v>
      </c>
      <c r="C22" s="11">
        <v>224.14</v>
      </c>
      <c r="F22" s="7" t="str">
        <f t="array" ref="F22">IFERROR(INDEX($B$17:$C$31,SMALL(IF($B$17:$B$31=$F$14,ROW($B$17:$B$31)-16),ROW(A6)),1),"")</f>
        <v/>
      </c>
      <c r="G22" s="7" t="str">
        <f t="array" ref="G22">IFERROR(INDEX($B$17:$C$31,SMALL(IF($B$17:$B$31=$F$14,ROW($B$17:$B$31)-16),ROW(B6)),2),"")</f>
        <v/>
      </c>
    </row>
    <row r="23" spans="2:9" ht="21" x14ac:dyDescent="0.5">
      <c r="B23" s="7" t="s">
        <v>2</v>
      </c>
      <c r="C23" s="11">
        <v>150.5</v>
      </c>
      <c r="F23" s="7" t="str">
        <f t="array" ref="F23">IFERROR(INDEX($B$17:$C$31,SMALL(IF($B$17:$B$31=$F$14,ROW($B$17:$B$31)-16),ROW(A7)),1),"")</f>
        <v/>
      </c>
      <c r="G23" s="7" t="str">
        <f t="array" ref="G23">IFERROR(INDEX($B$17:$C$31,SMALL(IF($B$17:$B$31=$F$14,ROW($B$17:$B$31)-16),ROW(B7)),2),"")</f>
        <v/>
      </c>
    </row>
    <row r="24" spans="2:9" ht="21" x14ac:dyDescent="0.5">
      <c r="B24" s="7" t="s">
        <v>8</v>
      </c>
      <c r="C24" s="11">
        <v>248.73</v>
      </c>
      <c r="F24" s="7" t="str">
        <f t="array" ref="F24">IFERROR(INDEX($B$17:$C$31,SMALL(IF($B$17:$B$31=$F$14,ROW($B$17:$B$31)-16),ROW(A8)),1),"")</f>
        <v/>
      </c>
      <c r="G24" s="7" t="str">
        <f t="array" ref="G24">IFERROR(INDEX($B$17:$C$31,SMALL(IF($B$17:$B$31=$F$14,ROW($B$17:$B$31)-16),ROW(B8)),2),"")</f>
        <v/>
      </c>
    </row>
    <row r="25" spans="2:9" ht="21" x14ac:dyDescent="0.5">
      <c r="B25" s="7" t="s">
        <v>2</v>
      </c>
      <c r="C25" s="11">
        <v>116.52</v>
      </c>
      <c r="F25" s="7" t="str">
        <f t="array" ref="F25">IFERROR(INDEX($B$17:$C$31,SMALL(IF($B$17:$B$31=$F$14,ROW($B$17:$B$31)-16),ROW(A9)),1),"")</f>
        <v/>
      </c>
      <c r="G25" s="7" t="str">
        <f t="array" ref="G25">IFERROR(INDEX($B$17:$C$31,SMALL(IF($B$17:$B$31=$F$14,ROW($B$17:$B$31)-16),ROW(B9)),2),"")</f>
        <v/>
      </c>
    </row>
    <row r="26" spans="2:9" ht="21" x14ac:dyDescent="0.5">
      <c r="B26" s="7" t="s">
        <v>3</v>
      </c>
      <c r="C26" s="11">
        <v>59.9</v>
      </c>
      <c r="F26" s="7" t="str">
        <f t="array" ref="F26">IFERROR(INDEX($B$17:$C$31,SMALL(IF($B$17:$B$31=$F$14,ROW($B$17:$B$31)-16),ROW(A10)),1),"")</f>
        <v/>
      </c>
      <c r="G26" s="7" t="str">
        <f t="array" ref="G26">IFERROR(INDEX($B$17:$C$31,SMALL(IF($B$17:$B$31=$F$14,ROW($B$17:$B$31)-16),ROW(B10)),2),"")</f>
        <v/>
      </c>
    </row>
    <row r="27" spans="2:9" ht="21" x14ac:dyDescent="0.5">
      <c r="B27" s="7" t="s">
        <v>4</v>
      </c>
      <c r="C27" s="11">
        <v>46.9</v>
      </c>
    </row>
    <row r="28" spans="2:9" ht="21" x14ac:dyDescent="0.5">
      <c r="B28" s="7" t="s">
        <v>2</v>
      </c>
      <c r="C28" s="11">
        <v>41.9</v>
      </c>
    </row>
    <row r="29" spans="2:9" ht="21" x14ac:dyDescent="0.5">
      <c r="B29" s="7" t="s">
        <v>2</v>
      </c>
      <c r="C29" s="11">
        <v>81.900000000000006</v>
      </c>
    </row>
    <row r="30" spans="2:9" ht="21" x14ac:dyDescent="0.5">
      <c r="B30" s="7" t="s">
        <v>3</v>
      </c>
      <c r="C30" s="11">
        <v>55.9</v>
      </c>
    </row>
    <row r="31" spans="2:9" ht="21" x14ac:dyDescent="0.5">
      <c r="B31" s="7" t="s">
        <v>4</v>
      </c>
      <c r="C31" s="11">
        <v>89.9</v>
      </c>
    </row>
  </sheetData>
  <mergeCells count="5">
    <mergeCell ref="B5:C5"/>
    <mergeCell ref="B6:C6"/>
    <mergeCell ref="B7:C7"/>
    <mergeCell ref="B8:C8"/>
    <mergeCell ref="B2:K4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6F47-D82C-41DD-B6A4-1D11D143217D}">
  <dimension ref="B1:K31"/>
  <sheetViews>
    <sheetView showGridLines="0" tabSelected="1" topLeftCell="A10" workbookViewId="0">
      <selection activeCell="F15" sqref="F15"/>
    </sheetView>
  </sheetViews>
  <sheetFormatPr defaultRowHeight="14.5" x14ac:dyDescent="0.35"/>
  <cols>
    <col min="2" max="2" width="15.453125" style="1" customWidth="1"/>
    <col min="3" max="3" width="16.90625" customWidth="1"/>
    <col min="6" max="6" width="16.54296875" customWidth="1"/>
    <col min="7" max="7" width="16.453125" customWidth="1"/>
    <col min="8" max="8" width="2.6328125" customWidth="1"/>
  </cols>
  <sheetData>
    <row r="1" spans="2:11" s="4" customFormat="1" x14ac:dyDescent="0.35">
      <c r="E1" s="5"/>
      <c r="F1" s="5"/>
      <c r="H1" s="5"/>
      <c r="I1" s="5"/>
    </row>
    <row r="2" spans="2:11" s="4" customFormat="1" ht="15.65" customHeight="1" x14ac:dyDescent="0.35">
      <c r="B2" s="13" t="s">
        <v>9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s="4" customFormat="1" ht="14.4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2:11" s="4" customFormat="1" ht="14.4" customHeight="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2:11" s="4" customFormat="1" ht="23.5" x14ac:dyDescent="0.55000000000000004">
      <c r="B5" s="12" t="s">
        <v>10</v>
      </c>
      <c r="C5" s="12"/>
      <c r="D5" s="6" t="s">
        <v>11</v>
      </c>
      <c r="E5" s="5"/>
      <c r="F5" s="5"/>
      <c r="H5" s="5"/>
      <c r="I5" s="5"/>
    </row>
    <row r="6" spans="2:11" s="4" customFormat="1" ht="23.5" x14ac:dyDescent="0.55000000000000004">
      <c r="B6" s="12" t="s">
        <v>12</v>
      </c>
      <c r="C6" s="12"/>
      <c r="D6" s="6" t="s">
        <v>13</v>
      </c>
      <c r="E6" s="5"/>
      <c r="F6" s="5"/>
      <c r="H6" s="5"/>
      <c r="I6" s="5"/>
    </row>
    <row r="7" spans="2:11" s="4" customFormat="1" ht="23.5" x14ac:dyDescent="0.55000000000000004">
      <c r="B7" s="12" t="s">
        <v>12</v>
      </c>
      <c r="C7" s="12"/>
      <c r="D7" s="6" t="s">
        <v>14</v>
      </c>
      <c r="E7" s="5"/>
      <c r="F7" s="5"/>
      <c r="H7" s="5"/>
      <c r="I7" s="5"/>
    </row>
    <row r="8" spans="2:11" s="4" customFormat="1" ht="23.5" x14ac:dyDescent="0.55000000000000004">
      <c r="B8" s="12" t="s">
        <v>12</v>
      </c>
      <c r="C8" s="12"/>
      <c r="D8" s="6" t="s">
        <v>15</v>
      </c>
      <c r="E8" s="5"/>
      <c r="F8" s="5"/>
      <c r="H8" s="5"/>
      <c r="I8" s="5"/>
    </row>
    <row r="9" spans="2:11" s="4" customFormat="1" x14ac:dyDescent="0.35">
      <c r="E9" s="5"/>
      <c r="F9" s="5"/>
      <c r="H9" s="5"/>
      <c r="I9" s="5"/>
    </row>
    <row r="11" spans="2:11" ht="21" x14ac:dyDescent="0.5">
      <c r="B11"/>
      <c r="F11" s="7" t="s">
        <v>5</v>
      </c>
      <c r="G11" s="7" t="str">
        <f>INDEX(B17:C31,2,1)</f>
        <v>Allan</v>
      </c>
      <c r="I11" s="3"/>
    </row>
    <row r="12" spans="2:11" ht="21" x14ac:dyDescent="0.5">
      <c r="B12"/>
      <c r="F12" s="7" t="s">
        <v>6</v>
      </c>
      <c r="G12" s="7">
        <f>ROW(L18)</f>
        <v>18</v>
      </c>
      <c r="I12" s="3"/>
    </row>
    <row r="13" spans="2:11" ht="21" x14ac:dyDescent="0.5">
      <c r="B13"/>
      <c r="F13" s="7" t="s">
        <v>7</v>
      </c>
      <c r="G13" s="7">
        <f>SMALL(B17:C31,2)</f>
        <v>46.9</v>
      </c>
      <c r="I13" s="3"/>
    </row>
    <row r="14" spans="2:11" ht="21" x14ac:dyDescent="0.5">
      <c r="B14"/>
      <c r="F14" s="8" t="s">
        <v>4</v>
      </c>
      <c r="G14" s="2"/>
    </row>
    <row r="15" spans="2:11" x14ac:dyDescent="0.35">
      <c r="B15"/>
    </row>
    <row r="16" spans="2:11" ht="21" x14ac:dyDescent="0.5">
      <c r="B16" s="9" t="s">
        <v>0</v>
      </c>
      <c r="C16" s="10" t="s">
        <v>1</v>
      </c>
      <c r="F16" s="9" t="s">
        <v>0</v>
      </c>
      <c r="G16" s="10" t="s">
        <v>1</v>
      </c>
    </row>
    <row r="17" spans="2:9" ht="21" x14ac:dyDescent="0.5">
      <c r="B17" s="7" t="s">
        <v>2</v>
      </c>
      <c r="C17" s="11">
        <v>89.99</v>
      </c>
      <c r="F17" s="7" t="str" cm="1">
        <f t="array" ref="F17">IFERROR(INDEX($B$17:$C$31,SMALL(IF($B$17:$B$31=$F$14,ROW($B$17:$B$31)-16),ROW(A1)),1),"")</f>
        <v>Pedro</v>
      </c>
      <c r="G17" s="7" cm="1">
        <f t="array" ref="G17">IFERROR(INDEX($B$17:$C$31,SMALL(IF($B$17:$B$31=$F$14,ROW($B$17:$B$31)-16),ROW(B1)),2),"")</f>
        <v>153.4</v>
      </c>
      <c r="I17" s="3"/>
    </row>
    <row r="18" spans="2:9" ht="21" x14ac:dyDescent="0.5">
      <c r="B18" s="7" t="s">
        <v>8</v>
      </c>
      <c r="C18" s="11">
        <v>69.989999999999995</v>
      </c>
      <c r="F18" s="7" t="str" cm="1">
        <f t="array" ref="F18">IFERROR(INDEX($B$17:$C$31,SMALL(IF($B$17:$B$31=$F$14,ROW($B$17:$B$31)-16),ROW(A2)),1),"")</f>
        <v>Pedro</v>
      </c>
      <c r="G18" s="7" cm="1">
        <f t="array" ref="G18">IFERROR(INDEX($B$17:$C$31,SMALL(IF($B$17:$B$31=$F$14,ROW($B$17:$B$31)-16),ROW(B2)),2),"")</f>
        <v>46.9</v>
      </c>
    </row>
    <row r="19" spans="2:9" ht="21" x14ac:dyDescent="0.5">
      <c r="B19" s="7" t="s">
        <v>4</v>
      </c>
      <c r="C19" s="11">
        <v>153.4</v>
      </c>
      <c r="F19" s="7" t="str" cm="1">
        <f t="array" ref="F19">IFERROR(INDEX($B$17:$C$31,SMALL(IF($B$17:$B$31=$F$14,ROW($B$17:$B$31)-16),ROW(A3)),1),"")</f>
        <v>Pedro</v>
      </c>
      <c r="G19" s="7" cm="1">
        <f t="array" ref="G19">IFERROR(INDEX($B$17:$C$31,SMALL(IF($B$17:$B$31=$F$14,ROW($B$17:$B$31)-16),ROW(B3)),2),"")</f>
        <v>89.9</v>
      </c>
    </row>
    <row r="20" spans="2:9" ht="21" x14ac:dyDescent="0.5">
      <c r="B20" s="7" t="s">
        <v>3</v>
      </c>
      <c r="C20" s="11">
        <v>148.56</v>
      </c>
      <c r="F20" s="7" t="str" cm="1">
        <f t="array" ref="F20">IFERROR(INDEX($B$17:$C$31,SMALL(IF($B$17:$B$31=$F$14,ROW($B$17:$B$31)-16),ROW(A4)),1),"")</f>
        <v/>
      </c>
      <c r="G20" s="7" t="str" cm="1">
        <f t="array" ref="G20">IFERROR(INDEX($B$17:$C$31,SMALL(IF($B$17:$B$31=$F$14,ROW($B$17:$B$31)-16),ROW(B4)),2),"")</f>
        <v/>
      </c>
    </row>
    <row r="21" spans="2:9" ht="21" x14ac:dyDescent="0.5">
      <c r="B21" s="7" t="s">
        <v>2</v>
      </c>
      <c r="C21" s="11">
        <v>146.13999999999999</v>
      </c>
      <c r="F21" s="7" t="str" cm="1">
        <f t="array" ref="F21">IFERROR(INDEX($B$17:$C$31,SMALL(IF($B$17:$B$31=$F$14,ROW($B$17:$B$31)-16),ROW(A5)),1),"")</f>
        <v/>
      </c>
      <c r="G21" s="7" t="str" cm="1">
        <f t="array" ref="G21">IFERROR(INDEX($B$17:$C$31,SMALL(IF($B$17:$B$31=$F$14,ROW($B$17:$B$31)-16),ROW(B5)),2),"")</f>
        <v/>
      </c>
    </row>
    <row r="22" spans="2:9" ht="21" x14ac:dyDescent="0.5">
      <c r="B22" s="7" t="s">
        <v>3</v>
      </c>
      <c r="C22" s="11">
        <v>224.14</v>
      </c>
      <c r="F22" s="7" t="str" cm="1">
        <f t="array" ref="F22">IFERROR(INDEX($B$17:$C$31,SMALL(IF($B$17:$B$31=$F$14,ROW($B$17:$B$31)-16),ROW(A6)),1),"")</f>
        <v/>
      </c>
      <c r="G22" s="7" t="str" cm="1">
        <f t="array" ref="G22">IFERROR(INDEX($B$17:$C$31,SMALL(IF($B$17:$B$31=$F$14,ROW($B$17:$B$31)-16),ROW(B6)),2),"")</f>
        <v/>
      </c>
    </row>
    <row r="23" spans="2:9" ht="21" x14ac:dyDescent="0.5">
      <c r="B23" s="7" t="s">
        <v>2</v>
      </c>
      <c r="C23" s="11">
        <v>150.5</v>
      </c>
      <c r="F23" s="7" t="str" cm="1">
        <f t="array" ref="F23">IFERROR(INDEX($B$17:$C$31,SMALL(IF($B$17:$B$31=$F$14,ROW($B$17:$B$31)-16),ROW(A7)),1),"")</f>
        <v/>
      </c>
      <c r="G23" s="7" t="str" cm="1">
        <f t="array" ref="G23">IFERROR(INDEX($B$17:$C$31,SMALL(IF($B$17:$B$31=$F$14,ROW($B$17:$B$31)-16),ROW(B7)),2),"")</f>
        <v/>
      </c>
    </row>
    <row r="24" spans="2:9" ht="21" x14ac:dyDescent="0.5">
      <c r="B24" s="7" t="s">
        <v>8</v>
      </c>
      <c r="C24" s="11">
        <v>248.73</v>
      </c>
      <c r="F24" s="7" t="str" cm="1">
        <f t="array" ref="F24">IFERROR(INDEX($B$17:$C$31,SMALL(IF($B$17:$B$31=$F$14,ROW($B$17:$B$31)-16),ROW(A8)),1),"")</f>
        <v/>
      </c>
      <c r="G24" s="7" t="str" cm="1">
        <f t="array" ref="G24">IFERROR(INDEX($B$17:$C$31,SMALL(IF($B$17:$B$31=$F$14,ROW($B$17:$B$31)-16),ROW(B8)),2),"")</f>
        <v/>
      </c>
    </row>
    <row r="25" spans="2:9" ht="21" x14ac:dyDescent="0.5">
      <c r="B25" s="7" t="s">
        <v>2</v>
      </c>
      <c r="C25" s="11">
        <v>116.52</v>
      </c>
      <c r="F25" s="7" t="str" cm="1">
        <f t="array" ref="F25">IFERROR(INDEX($B$17:$C$31,SMALL(IF($B$17:$B$31=$F$14,ROW($B$17:$B$31)-16),ROW(A9)),1),"")</f>
        <v/>
      </c>
      <c r="G25" s="7" t="str" cm="1">
        <f t="array" ref="G25">IFERROR(INDEX($B$17:$C$31,SMALL(IF($B$17:$B$31=$F$14,ROW($B$17:$B$31)-16),ROW(B9)),2),"")</f>
        <v/>
      </c>
    </row>
    <row r="26" spans="2:9" ht="21" x14ac:dyDescent="0.5">
      <c r="B26" s="7" t="s">
        <v>3</v>
      </c>
      <c r="C26" s="11">
        <v>59.9</v>
      </c>
      <c r="F26" s="7" t="str" cm="1">
        <f t="array" ref="F26">IFERROR(INDEX($B$17:$C$31,SMALL(IF($B$17:$B$31=$F$14,ROW($B$17:$B$31)-16),ROW(A10)),1),"")</f>
        <v/>
      </c>
      <c r="G26" s="7" t="str" cm="1">
        <f t="array" ref="G26">IFERROR(INDEX($B$17:$C$31,SMALL(IF($B$17:$B$31=$F$14,ROW($B$17:$B$31)-16),ROW(B10)),2),"")</f>
        <v/>
      </c>
    </row>
    <row r="27" spans="2:9" ht="21" x14ac:dyDescent="0.5">
      <c r="B27" s="7" t="s">
        <v>4</v>
      </c>
      <c r="C27" s="11">
        <v>46.9</v>
      </c>
    </row>
    <row r="28" spans="2:9" ht="21" x14ac:dyDescent="0.5">
      <c r="B28" s="7" t="s">
        <v>2</v>
      </c>
      <c r="C28" s="11">
        <v>41.9</v>
      </c>
    </row>
    <row r="29" spans="2:9" ht="21" x14ac:dyDescent="0.5">
      <c r="B29" s="7" t="s">
        <v>2</v>
      </c>
      <c r="C29" s="11">
        <v>81.900000000000006</v>
      </c>
    </row>
    <row r="30" spans="2:9" ht="21" x14ac:dyDescent="0.5">
      <c r="B30" s="7" t="s">
        <v>3</v>
      </c>
      <c r="C30" s="11">
        <v>55.9</v>
      </c>
    </row>
    <row r="31" spans="2:9" ht="21" x14ac:dyDescent="0.5">
      <c r="B31" s="7" t="s">
        <v>4</v>
      </c>
      <c r="C31" s="11">
        <v>89.9</v>
      </c>
    </row>
  </sheetData>
  <mergeCells count="5">
    <mergeCell ref="B2:K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2026-05-11T18:45:55Z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2026-05-11T18:19:15Z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065ecd61-e98e-4367-95a5-673854dacace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
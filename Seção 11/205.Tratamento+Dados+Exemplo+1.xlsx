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81357B1E-923C-4E27-83BF-E00D82F31D1A}" xr6:coauthVersionLast="47" xr6:coauthVersionMax="47" xr10:uidLastSave="{00000000-0000-0000-0000-000000000000}"/>
  <bookViews>
    <workbookView xWindow="-110" yWindow="-110" windowWidth="19420" windowHeight="11500" xr2:uid="{1B81E4FD-1849-4A90-B1AF-34E22C21EB0E}"/>
  </bookViews>
  <sheets>
    <sheet name="Planilha2" sheetId="3" r:id="rId1"/>
    <sheet name="Dados" sheetId="2" r:id="rId2"/>
    <sheet name="Planilha1" sheetId="1" r:id="rId3"/>
  </sheets>
  <definedNames>
    <definedName name="DadosExternos_1" localSheetId="1" hidden="1">Dados!$A$1:$F$38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06BDD-C4A9-41A4-8845-B750B9F507FF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<sst xmlns="http://schemas.openxmlformats.org/spreadsheetml/2006/main" count="123" uniqueCount="39">
  <si>
    <t>Estado</t>
  </si>
  <si>
    <t>Vendedor</t>
  </si>
  <si>
    <t>Produto</t>
  </si>
  <si>
    <t>Preço</t>
  </si>
  <si>
    <t>Qtd. Vendida</t>
  </si>
  <si>
    <t>Total vendido</t>
  </si>
  <si>
    <t>Rio de Janeiro</t>
  </si>
  <si>
    <t>Eliane Moreira</t>
  </si>
  <si>
    <t>Calça Feminina Jogger</t>
  </si>
  <si>
    <t>São Paulo</t>
  </si>
  <si>
    <t>Nicolas Pereira</t>
  </si>
  <si>
    <t>Camisa Masculina</t>
  </si>
  <si>
    <t>Santa Catarina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</si>
  <si>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</si>
  <si>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</si>
  <si>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</si>
  <si>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</si>
  <si>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</si>
  <si>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</si>
  <si>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Leonardo Almeida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</si>
  <si>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</si>
  <si>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</si>
  <si>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</si>
  <si>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</si>
  <si>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</si>
  <si>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</si>
  <si>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</si>
  <si>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</si>
  <si>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</si>
  <si>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Angela Maria</t>
  </si>
  <si>
    <t>Tênis Feminino</t>
  </si>
  <si>
    <t>Carlos Moreira</t>
  </si>
  <si>
    <t>Boné</t>
  </si>
  <si>
    <t>Relógio</t>
  </si>
  <si>
    <t>Chinelo</t>
  </si>
  <si>
    <t>Teste</t>
  </si>
  <si>
    <t>Rótulos de Linha</t>
  </si>
  <si>
    <t>Total Geral</t>
  </si>
  <si>
    <t>Soma de Total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</si>
</sst>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44.988010185189" createdVersion="8" refreshedVersion="8" minRefreshableVersion="3" recordCount="37" xr:uid="{D792031A-DB46-4FDC-A880-7D9B5E0EB7B1}">
  <cacheSource type="worksheet">
    <worksheetSource name="Dados"/>
  </cacheSource>
  <cacheFields count="6">
    <cacheField name="Estado" numFmtId="0">
      <sharedItems count="4">
        <s v="Rio de Janeiro"/>
        <s v="São Paulo"/>
        <s v="Santa Catarina"/>
        <s v="Teste"/>
      </sharedItems>
    </cacheField>
    <cacheField name="Vendedor" numFmtId="0">
      <sharedItems count="8">
        <s v="Eliane Moreira"/>
        <s v="Nicolas Pereira"/>
        <s v="Amanda Martins"/>
        <s v="Paulo Santos"/>
        <s v="Aline Rosa"/>
        <s v="Leonardo Almeida"/>
        <s v="Angela Maria"/>
        <s v="Carlos Moreira"/>
      </sharedItems>
    </cacheField>
    <cacheField name="Produto" numFmtId="0">
      <sharedItems/>
    </cacheField>
    <cacheField name="Preço" numFmtId="0">
      <sharedItems containsSemiMixedTypes="0" containsString="0" containsNumber="1" minValue="40" maxValue="390"/>
    </cacheField>
    <cacheField name="Qtd. Vendida" numFmtId="0">
      <sharedItems containsSemiMixedTypes="0" containsString="0" containsNumber="1" containsInteger="1" minValue="1" maxValue="9"/>
    </cacheField>
    <cacheField name="Total vendido" numFmtId="0">
      <sharedItems containsSemiMixedTypes="0" containsString="0" containsNumber="1" minValue="46.9" maxValue="1337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Calça Feminina Jogger"/>
    <n v="69.989999999999995"/>
    <n v="5"/>
    <n v="349.95"/>
  </r>
  <r>
    <x v="1"/>
    <x v="1"/>
    <s v="Camisa Masculina"/>
    <n v="153.4"/>
    <n v="1"/>
    <n v="153.4"/>
  </r>
  <r>
    <x v="2"/>
    <x v="2"/>
    <s v="Bermuda Masculino"/>
    <n v="148.56"/>
    <n v="9"/>
    <n v="1337.04"/>
  </r>
  <r>
    <x v="1"/>
    <x v="3"/>
    <s v="Camisa Masculina Festa Balada"/>
    <n v="146.13999999999999"/>
    <n v="1"/>
    <n v="146.13999999999999"/>
  </r>
  <r>
    <x v="1"/>
    <x v="4"/>
    <s v="Bota Masculina"/>
    <n v="224.14"/>
    <n v="4"/>
    <n v="896.56"/>
  </r>
  <r>
    <x v="1"/>
    <x v="5"/>
    <s v="Jaqueta Masculina Preta"/>
    <n v="150.5"/>
    <n v="4"/>
    <n v="602"/>
  </r>
  <r>
    <x v="0"/>
    <x v="0"/>
    <s v="Bolsa de Trabalho"/>
    <n v="248.73"/>
    <n v="1"/>
    <n v="248.73"/>
  </r>
  <r>
    <x v="1"/>
    <x v="1"/>
    <s v="Kit de Pinceis de Maquiagem"/>
    <n v="116.52"/>
    <n v="1"/>
    <n v="116.52"/>
  </r>
  <r>
    <x v="2"/>
    <x v="2"/>
    <s v="Vestido Infantil"/>
    <n v="59.9"/>
    <n v="1"/>
    <n v="59.9"/>
  </r>
  <r>
    <x v="1"/>
    <x v="5"/>
    <s v="Calça Bailarina"/>
    <n v="46.9"/>
    <n v="1"/>
    <n v="46.9"/>
  </r>
  <r>
    <x v="0"/>
    <x v="0"/>
    <s v="Camisa Térmica"/>
    <n v="41.9"/>
    <n v="4"/>
    <n v="167.6"/>
  </r>
  <r>
    <x v="1"/>
    <x v="1"/>
    <s v="Sapato Social"/>
    <n v="81.900000000000006"/>
    <n v="9"/>
    <n v="737.1"/>
  </r>
  <r>
    <x v="2"/>
    <x v="2"/>
    <s v="Sapatilha Sapato"/>
    <n v="55.9"/>
    <n v="2"/>
    <n v="111.8"/>
  </r>
  <r>
    <x v="0"/>
    <x v="0"/>
    <s v="Colar Pingente"/>
    <n v="89.9"/>
    <n v="1"/>
    <n v="89.9"/>
  </r>
  <r>
    <x v="0"/>
    <x v="6"/>
    <s v="Tênis Feminino"/>
    <n v="89.99"/>
    <n v="1"/>
    <n v="89.99"/>
  </r>
  <r>
    <x v="2"/>
    <x v="7"/>
    <s v="Calça Feminina Jogger"/>
    <n v="69.989999999999995"/>
    <n v="1"/>
    <n v="69.989999999999995"/>
  </r>
  <r>
    <x v="0"/>
    <x v="0"/>
    <s v="Camisa Masculina"/>
    <n v="153.4"/>
    <n v="2"/>
    <n v="306.8"/>
  </r>
  <r>
    <x v="1"/>
    <x v="1"/>
    <s v="Bermuda Masculino"/>
    <n v="148.56"/>
    <n v="6"/>
    <n v="891.36"/>
  </r>
  <r>
    <x v="1"/>
    <x v="5"/>
    <s v="Camisa Masculina Festa Balada"/>
    <n v="146.13999999999999"/>
    <n v="1"/>
    <n v="146.13999999999999"/>
  </r>
  <r>
    <x v="1"/>
    <x v="4"/>
    <s v="Bota Masculina"/>
    <n v="224.14"/>
    <n v="1"/>
    <n v="224.14"/>
  </r>
  <r>
    <x v="1"/>
    <x v="5"/>
    <s v="Jaqueta Masculina Preta"/>
    <n v="150.5"/>
    <n v="5"/>
    <n v="752.5"/>
  </r>
  <r>
    <x v="0"/>
    <x v="0"/>
    <s v="Bolsa de Trabalho"/>
    <n v="248.73"/>
    <n v="2"/>
    <n v="497.46"/>
  </r>
  <r>
    <x v="1"/>
    <x v="1"/>
    <s v="Kit de Pinceis de Maquiagem"/>
    <n v="116.52"/>
    <n v="3"/>
    <n v="349.56"/>
  </r>
  <r>
    <x v="2"/>
    <x v="2"/>
    <s v="Vestido Infantil"/>
    <n v="59.9"/>
    <n v="2"/>
    <n v="119.8"/>
  </r>
  <r>
    <x v="0"/>
    <x v="0"/>
    <s v="Calça Bailarina"/>
    <n v="46.9"/>
    <n v="2"/>
    <n v="93.8"/>
  </r>
  <r>
    <x v="1"/>
    <x v="1"/>
    <s v="Camisa Térmica"/>
    <n v="41.9"/>
    <n v="2"/>
    <n v="83.8"/>
  </r>
  <r>
    <x v="2"/>
    <x v="2"/>
    <s v="Sapato Social"/>
    <n v="81.900000000000006"/>
    <n v="4"/>
    <n v="327.60000000000002"/>
  </r>
  <r>
    <x v="0"/>
    <x v="6"/>
    <s v="Kit de Pinceis de Maquiagem"/>
    <n v="116.52"/>
    <n v="3"/>
    <n v="349.56"/>
  </r>
  <r>
    <x v="0"/>
    <x v="6"/>
    <s v="Vestido Infantil"/>
    <n v="59.9"/>
    <n v="2"/>
    <n v="119.8"/>
  </r>
  <r>
    <x v="2"/>
    <x v="7"/>
    <s v="Boné"/>
    <n v="40"/>
    <n v="3"/>
    <n v="120"/>
  </r>
  <r>
    <x v="2"/>
    <x v="7"/>
    <s v="Relógio"/>
    <n v="390"/>
    <n v="2"/>
    <n v="780"/>
  </r>
  <r>
    <x v="1"/>
    <x v="4"/>
    <s v="Bermuda Masculino"/>
    <n v="148.56"/>
    <n v="2"/>
    <n v="297.12"/>
  </r>
  <r>
    <x v="1"/>
    <x v="4"/>
    <s v="Camisa Masculina"/>
    <n v="153.4"/>
    <n v="1"/>
    <n v="153.4"/>
  </r>
  <r>
    <x v="1"/>
    <x v="4"/>
    <s v="Chinelo"/>
    <n v="40"/>
    <n v="3"/>
    <n v="120"/>
  </r>
  <r>
    <x v="1"/>
    <x v="3"/>
    <s v="Sapato Social"/>
    <n v="81.900000000000006"/>
    <n v="8"/>
    <n v="655.20000000000005"/>
  </r>
  <r>
    <x v="1"/>
    <x v="3"/>
    <s v="Camisa Masculina"/>
    <n v="153.4"/>
    <n v="1"/>
    <n v="153.4"/>
  </r>
  <r>
    <x v="3"/>
    <x v="3"/>
    <s v="Camisa Masculina"/>
    <n v="153.4"/>
    <n v="1"/>
    <n v="15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132BB-8E04-48E1-AAE3-4030F3428942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6">
    <pivotField axis="axisRow" showAll="0">
      <items count="5">
        <item x="0"/>
        <item x="2"/>
        <item x="1"/>
        <item x="3"/>
        <item t="default"/>
      </items>
    </pivotField>
    <pivotField axis="axisPage" multipleItemSelectionAllowed="1" showAll="0">
      <items count="9">
        <item h="1" x="4"/>
        <item x="2"/>
        <item h="1" x="6"/>
        <item h="1" x="7"/>
        <item h="1" x="0"/>
        <item h="1" x="5"/>
        <item h="1" x="1"/>
        <item h="1"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">
    <i>
      <x v="1"/>
    </i>
    <i t="grand">
      <x/>
    </i>
  </rowItems>
  <colItems count="1">
    <i/>
  </colItems>
  <pageFields count="1">
    <pageField fld="1" hier="-1"/>
  </pageFields>
  <dataFields count="1">
    <dataField name="Soma de Total vendid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75254CC-A40A-42AD-B6D6-A337D7118B17}" autoFormatId="16" applyNumberFormats="0" applyBorderFormats="0" applyFontFormats="0" applyPatternFormats="0" applyAlignmentFormats="0" applyWidthHeightFormats="0">
  <queryTableRefresh nextId="7">
    <queryTableFields count="6">
      <queryTableField id="1" name="Estado" tableColumnId="1"/>
      <queryTableField id="2" name="Vendedor" tableColumnId="2"/>
      <queryTableField id="3" name="Produto" tableColumnId="3"/>
      <queryTableField id="4" name="Preço" tableColumnId="4"/>
      <queryTableField id="5" name="Qtd. Vendida" tableColumnId="5"/>
      <queryTableField id="6" name="Total vendid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5D04B-6B56-4FA4-9367-EB9F115F3CF8}" name="Dados" displayName="Dados" ref="A1:F38" tableType="queryTable" totalsRowShown="0">
  <autoFilter ref="A1:F38" xr:uid="{5A65D04B-6B56-4FA4-9367-EB9F115F3CF8}"/>
  <tableColumns count="6">
    <tableColumn id="1" xr3:uid="{4C4014CF-798F-4D0D-A196-9BE6AF6E2E2E}" uniqueName="1" name="Estado" queryTableFieldId="1" dataDxfId="2"/>
    <tableColumn id="2" xr3:uid="{A6AF1071-ADF8-41C6-8E33-E28C7FBA4EEB}" uniqueName="2" name="Vendedor" queryTableFieldId="2" dataDxfId="1"/>
    <tableColumn id="3" xr3:uid="{4420B18D-1F10-4097-AD18-D645C4FD685E}" uniqueName="3" name="Produto" queryTableFieldId="3" dataDxfId="0"/>
    <tableColumn id="4" xr3:uid="{4A167529-D942-4902-BB97-12C4BC655CAD}" uniqueName="4" name="Preço" queryTableFieldId="4"/>
    <tableColumn id="5" xr3:uid="{4930C910-930C-4332-BFB5-74D91BDA825C}" uniqueName="5" name="Qtd. Vendida" queryTableFieldId="5"/>
    <tableColumn id="6" xr3:uid="{8084A034-6FB9-4F96-8BB9-FBCE60DD9ED9}" uniqueName="6" name="Total vendid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C90B-B0F3-4E78-97D3-861909B115D5}">
  <dimension ref="A1:B5"/>
  <sheetViews>
    <sheetView tabSelected="1" workbookViewId="0">
      <selection activeCell="B1" sqref="B1"/>
    </sheetView>
  </sheetViews>
  <sheetFormatPr defaultRowHeight="14.5" x14ac:dyDescent="0.35"/>
  <cols>
    <col min="1" max="1" width="17" bestFit="1" customWidth="1"/>
    <col min="2" max="2" width="19.7265625" bestFit="1" customWidth="1"/>
  </cols>
  <sheetData>
    <row r="1" spans="1:2" x14ac:dyDescent="0.35">
      <c r="A1" s="2" t="s">
        <v>1</v>
      </c>
      <c r="B1" t="s">
        <v>13</v>
      </c>
    </row>
    <row r="3" spans="1:2" x14ac:dyDescent="0.35">
      <c r="A3" s="2" t="s">
        <v>36</v>
      </c>
      <c r="B3" t="s">
        <v>38</v>
      </c>
    </row>
    <row r="4" spans="1:2" x14ac:dyDescent="0.35">
      <c r="A4" s="3" t="s">
        <v>12</v>
      </c>
      <c r="B4" s="1">
        <v>1956.14</v>
      </c>
    </row>
    <row r="5" spans="1:2" x14ac:dyDescent="0.35">
      <c r="A5" s="3" t="s">
        <v>37</v>
      </c>
      <c r="B5" s="1">
        <v>1956.14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E906-09B6-4B3C-8357-99F9542A077D}">
  <dimension ref="A1:F38"/>
  <sheetViews>
    <sheetView topLeftCell="A2" workbookViewId="0"/>
  </sheetViews>
  <sheetFormatPr defaultRowHeight="14.5" x14ac:dyDescent="0.35"/>
  <cols>
    <col min="1" max="1" width="12.90625" bestFit="1" customWidth="1"/>
    <col min="2" max="2" width="15.36328125" bestFit="1" customWidth="1"/>
    <col min="3" max="3" width="26.81640625" bestFit="1" customWidth="1"/>
    <col min="4" max="4" width="7.81640625" bestFit="1" customWidth="1"/>
    <col min="5" max="5" width="13.90625" bestFit="1" customWidth="1"/>
    <col min="6" max="6" width="14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>
        <v>69.989999999999995</v>
      </c>
      <c r="E2">
        <v>5</v>
      </c>
      <c r="F2">
        <v>349.95</v>
      </c>
    </row>
    <row r="3" spans="1:6" x14ac:dyDescent="0.35">
      <c r="A3" s="1" t="s">
        <v>9</v>
      </c>
      <c r="B3" s="1" t="s">
        <v>10</v>
      </c>
      <c r="C3" s="1" t="s">
        <v>11</v>
      </c>
      <c r="D3">
        <v>153.4</v>
      </c>
      <c r="E3">
        <v>1</v>
      </c>
      <c r="F3">
        <v>153.4</v>
      </c>
    </row>
    <row r="4" spans="1:6" x14ac:dyDescent="0.35">
      <c r="A4" s="1" t="s">
        <v>12</v>
      </c>
      <c r="B4" s="1" t="s">
        <v>13</v>
      </c>
      <c r="C4" s="1" t="s">
        <v>14</v>
      </c>
      <c r="D4">
        <v>148.56</v>
      </c>
      <c r="E4">
        <v>9</v>
      </c>
      <c r="F4">
        <v>1337.04</v>
      </c>
    </row>
    <row r="5" spans="1:6" x14ac:dyDescent="0.35">
      <c r="A5" s="1" t="s">
        <v>9</v>
      </c>
      <c r="B5" s="1" t="s">
        <v>15</v>
      </c>
      <c r="C5" s="1" t="s">
        <v>16</v>
      </c>
      <c r="D5">
        <v>146.13999999999999</v>
      </c>
      <c r="E5">
        <v>1</v>
      </c>
      <c r="F5">
        <v>146.13999999999999</v>
      </c>
    </row>
    <row r="6" spans="1:6" x14ac:dyDescent="0.35">
      <c r="A6" s="1" t="s">
        <v>9</v>
      </c>
      <c r="B6" s="1" t="s">
        <v>17</v>
      </c>
      <c r="C6" s="1" t="s">
        <v>18</v>
      </c>
      <c r="D6">
        <v>224.14</v>
      </c>
      <c r="E6">
        <v>4</v>
      </c>
      <c r="F6">
        <v>896.56</v>
      </c>
    </row>
    <row r="7" spans="1:6" x14ac:dyDescent="0.35">
      <c r="A7" s="1" t="s">
        <v>9</v>
      </c>
      <c r="B7" s="1" t="s">
        <v>19</v>
      </c>
      <c r="C7" s="1" t="s">
        <v>20</v>
      </c>
      <c r="D7">
        <v>150.5</v>
      </c>
      <c r="E7">
        <v>4</v>
      </c>
      <c r="F7">
        <v>602</v>
      </c>
    </row>
    <row r="8" spans="1:6" x14ac:dyDescent="0.35">
      <c r="A8" s="1" t="s">
        <v>6</v>
      </c>
      <c r="B8" s="1" t="s">
        <v>7</v>
      </c>
      <c r="C8" s="1" t="s">
        <v>21</v>
      </c>
      <c r="D8">
        <v>248.73</v>
      </c>
      <c r="E8">
        <v>1</v>
      </c>
      <c r="F8">
        <v>248.73</v>
      </c>
    </row>
    <row r="9" spans="1:6" x14ac:dyDescent="0.35">
      <c r="A9" s="1" t="s">
        <v>9</v>
      </c>
      <c r="B9" s="1" t="s">
        <v>10</v>
      </c>
      <c r="C9" s="1" t="s">
        <v>22</v>
      </c>
      <c r="D9">
        <v>116.52</v>
      </c>
      <c r="E9">
        <v>1</v>
      </c>
      <c r="F9">
        <v>116.52</v>
      </c>
    </row>
    <row r="10" spans="1:6" x14ac:dyDescent="0.35">
      <c r="A10" s="1" t="s">
        <v>12</v>
      </c>
      <c r="B10" s="1" t="s">
        <v>13</v>
      </c>
      <c r="C10" s="1" t="s">
        <v>23</v>
      </c>
      <c r="D10">
        <v>59.9</v>
      </c>
      <c r="E10">
        <v>1</v>
      </c>
      <c r="F10">
        <v>59.9</v>
      </c>
    </row>
    <row r="11" spans="1:6" x14ac:dyDescent="0.35">
      <c r="A11" s="1" t="s">
        <v>9</v>
      </c>
      <c r="B11" s="1" t="s">
        <v>19</v>
      </c>
      <c r="C11" s="1" t="s">
        <v>24</v>
      </c>
      <c r="D11">
        <v>46.9</v>
      </c>
      <c r="E11">
        <v>1</v>
      </c>
      <c r="F11">
        <v>46.9</v>
      </c>
    </row>
    <row r="12" spans="1:6" x14ac:dyDescent="0.35">
      <c r="A12" s="1" t="s">
        <v>6</v>
      </c>
      <c r="B12" s="1" t="s">
        <v>7</v>
      </c>
      <c r="C12" s="1" t="s">
        <v>25</v>
      </c>
      <c r="D12">
        <v>41.9</v>
      </c>
      <c r="E12">
        <v>4</v>
      </c>
      <c r="F12">
        <v>167.6</v>
      </c>
    </row>
    <row r="13" spans="1:6" x14ac:dyDescent="0.35">
      <c r="A13" s="1" t="s">
        <v>9</v>
      </c>
      <c r="B13" s="1" t="s">
        <v>10</v>
      </c>
      <c r="C13" s="1" t="s">
        <v>26</v>
      </c>
      <c r="D13">
        <v>81.900000000000006</v>
      </c>
      <c r="E13">
        <v>9</v>
      </c>
      <c r="F13">
        <v>737.1</v>
      </c>
    </row>
    <row r="14" spans="1:6" x14ac:dyDescent="0.35">
      <c r="A14" s="1" t="s">
        <v>12</v>
      </c>
      <c r="B14" s="1" t="s">
        <v>13</v>
      </c>
      <c r="C14" s="1" t="s">
        <v>27</v>
      </c>
      <c r="D14">
        <v>55.9</v>
      </c>
      <c r="E14">
        <v>2</v>
      </c>
      <c r="F14">
        <v>111.8</v>
      </c>
    </row>
    <row r="15" spans="1:6" x14ac:dyDescent="0.35">
      <c r="A15" s="1" t="s">
        <v>6</v>
      </c>
      <c r="B15" s="1" t="s">
        <v>7</v>
      </c>
      <c r="C15" s="1" t="s">
        <v>28</v>
      </c>
      <c r="D15">
        <v>89.9</v>
      </c>
      <c r="E15">
        <v>1</v>
      </c>
      <c r="F15">
        <v>89.9</v>
      </c>
    </row>
    <row r="16" spans="1:6" x14ac:dyDescent="0.35">
      <c r="A16" s="1" t="s">
        <v>6</v>
      </c>
      <c r="B16" s="1" t="s">
        <v>29</v>
      </c>
      <c r="C16" s="1" t="s">
        <v>30</v>
      </c>
      <c r="D16">
        <v>89.99</v>
      </c>
      <c r="E16">
        <v>1</v>
      </c>
      <c r="F16">
        <v>89.99</v>
      </c>
    </row>
    <row r="17" spans="1:6" x14ac:dyDescent="0.35">
      <c r="A17" s="1" t="s">
        <v>12</v>
      </c>
      <c r="B17" s="1" t="s">
        <v>31</v>
      </c>
      <c r="C17" s="1" t="s">
        <v>8</v>
      </c>
      <c r="D17">
        <v>69.989999999999995</v>
      </c>
      <c r="E17">
        <v>1</v>
      </c>
      <c r="F17">
        <v>69.989999999999995</v>
      </c>
    </row>
    <row r="18" spans="1:6" x14ac:dyDescent="0.35">
      <c r="A18" s="1" t="s">
        <v>6</v>
      </c>
      <c r="B18" s="1" t="s">
        <v>7</v>
      </c>
      <c r="C18" s="1" t="s">
        <v>11</v>
      </c>
      <c r="D18">
        <v>153.4</v>
      </c>
      <c r="E18">
        <v>2</v>
      </c>
      <c r="F18">
        <v>306.8</v>
      </c>
    </row>
    <row r="19" spans="1:6" x14ac:dyDescent="0.35">
      <c r="A19" s="1" t="s">
        <v>9</v>
      </c>
      <c r="B19" s="1" t="s">
        <v>10</v>
      </c>
      <c r="C19" s="1" t="s">
        <v>14</v>
      </c>
      <c r="D19">
        <v>148.56</v>
      </c>
      <c r="E19">
        <v>6</v>
      </c>
      <c r="F19">
        <v>891.36</v>
      </c>
    </row>
    <row r="20" spans="1:6" x14ac:dyDescent="0.35">
      <c r="A20" s="1" t="s">
        <v>9</v>
      </c>
      <c r="B20" s="1" t="s">
        <v>19</v>
      </c>
      <c r="C20" s="1" t="s">
        <v>16</v>
      </c>
      <c r="D20">
        <v>146.13999999999999</v>
      </c>
      <c r="E20">
        <v>1</v>
      </c>
      <c r="F20">
        <v>146.13999999999999</v>
      </c>
    </row>
    <row r="21" spans="1:6" x14ac:dyDescent="0.35">
      <c r="A21" s="1" t="s">
        <v>9</v>
      </c>
      <c r="B21" s="1" t="s">
        <v>17</v>
      </c>
      <c r="C21" s="1" t="s">
        <v>18</v>
      </c>
      <c r="D21">
        <v>224.14</v>
      </c>
      <c r="E21">
        <v>1</v>
      </c>
      <c r="F21">
        <v>224.14</v>
      </c>
    </row>
    <row r="22" spans="1:6" x14ac:dyDescent="0.35">
      <c r="A22" s="1" t="s">
        <v>9</v>
      </c>
      <c r="B22" s="1" t="s">
        <v>19</v>
      </c>
      <c r="C22" s="1" t="s">
        <v>20</v>
      </c>
      <c r="D22">
        <v>150.5</v>
      </c>
      <c r="E22">
        <v>5</v>
      </c>
      <c r="F22">
        <v>752.5</v>
      </c>
    </row>
    <row r="23" spans="1:6" x14ac:dyDescent="0.35">
      <c r="A23" s="1" t="s">
        <v>6</v>
      </c>
      <c r="B23" s="1" t="s">
        <v>7</v>
      </c>
      <c r="C23" s="1" t="s">
        <v>21</v>
      </c>
      <c r="D23">
        <v>248.73</v>
      </c>
      <c r="E23">
        <v>2</v>
      </c>
      <c r="F23">
        <v>497.46</v>
      </c>
    </row>
    <row r="24" spans="1:6" x14ac:dyDescent="0.35">
      <c r="A24" s="1" t="s">
        <v>9</v>
      </c>
      <c r="B24" s="1" t="s">
        <v>10</v>
      </c>
      <c r="C24" s="1" t="s">
        <v>22</v>
      </c>
      <c r="D24">
        <v>116.52</v>
      </c>
      <c r="E24">
        <v>3</v>
      </c>
      <c r="F24">
        <v>349.56</v>
      </c>
    </row>
    <row r="25" spans="1:6" x14ac:dyDescent="0.35">
      <c r="A25" s="1" t="s">
        <v>12</v>
      </c>
      <c r="B25" s="1" t="s">
        <v>13</v>
      </c>
      <c r="C25" s="1" t="s">
        <v>23</v>
      </c>
      <c r="D25">
        <v>59.9</v>
      </c>
      <c r="E25">
        <v>2</v>
      </c>
      <c r="F25">
        <v>119.8</v>
      </c>
    </row>
    <row r="26" spans="1:6" x14ac:dyDescent="0.35">
      <c r="A26" s="1" t="s">
        <v>6</v>
      </c>
      <c r="B26" s="1" t="s">
        <v>7</v>
      </c>
      <c r="C26" s="1" t="s">
        <v>24</v>
      </c>
      <c r="D26">
        <v>46.9</v>
      </c>
      <c r="E26">
        <v>2</v>
      </c>
      <c r="F26">
        <v>93.8</v>
      </c>
    </row>
    <row r="27" spans="1:6" x14ac:dyDescent="0.35">
      <c r="A27" s="1" t="s">
        <v>9</v>
      </c>
      <c r="B27" s="1" t="s">
        <v>10</v>
      </c>
      <c r="C27" s="1" t="s">
        <v>25</v>
      </c>
      <c r="D27">
        <v>41.9</v>
      </c>
      <c r="E27">
        <v>2</v>
      </c>
      <c r="F27">
        <v>83.8</v>
      </c>
    </row>
    <row r="28" spans="1:6" x14ac:dyDescent="0.35">
      <c r="A28" s="1" t="s">
        <v>12</v>
      </c>
      <c r="B28" s="1" t="s">
        <v>13</v>
      </c>
      <c r="C28" s="1" t="s">
        <v>26</v>
      </c>
      <c r="D28">
        <v>81.900000000000006</v>
      </c>
      <c r="E28">
        <v>4</v>
      </c>
      <c r="F28">
        <v>327.60000000000002</v>
      </c>
    </row>
    <row r="29" spans="1:6" x14ac:dyDescent="0.35">
      <c r="A29" s="1" t="s">
        <v>6</v>
      </c>
      <c r="B29" s="1" t="s">
        <v>29</v>
      </c>
      <c r="C29" s="1" t="s">
        <v>22</v>
      </c>
      <c r="D29">
        <v>116.52</v>
      </c>
      <c r="E29">
        <v>3</v>
      </c>
      <c r="F29">
        <v>349.56</v>
      </c>
    </row>
    <row r="30" spans="1:6" x14ac:dyDescent="0.35">
      <c r="A30" s="1" t="s">
        <v>6</v>
      </c>
      <c r="B30" s="1" t="s">
        <v>29</v>
      </c>
      <c r="C30" s="1" t="s">
        <v>23</v>
      </c>
      <c r="D30">
        <v>59.9</v>
      </c>
      <c r="E30">
        <v>2</v>
      </c>
      <c r="F30">
        <v>119.8</v>
      </c>
    </row>
    <row r="31" spans="1:6" x14ac:dyDescent="0.35">
      <c r="A31" s="1" t="s">
        <v>12</v>
      </c>
      <c r="B31" s="1" t="s">
        <v>31</v>
      </c>
      <c r="C31" s="1" t="s">
        <v>32</v>
      </c>
      <c r="D31">
        <v>40</v>
      </c>
      <c r="E31">
        <v>3</v>
      </c>
      <c r="F31">
        <v>120</v>
      </c>
    </row>
    <row r="32" spans="1:6" x14ac:dyDescent="0.35">
      <c r="A32" s="1" t="s">
        <v>12</v>
      </c>
      <c r="B32" s="1" t="s">
        <v>31</v>
      </c>
      <c r="C32" s="1" t="s">
        <v>33</v>
      </c>
      <c r="D32">
        <v>390</v>
      </c>
      <c r="E32">
        <v>2</v>
      </c>
      <c r="F32">
        <v>780</v>
      </c>
    </row>
    <row r="33" spans="1:6" x14ac:dyDescent="0.35">
      <c r="A33" s="1" t="s">
        <v>9</v>
      </c>
      <c r="B33" s="1" t="s">
        <v>17</v>
      </c>
      <c r="C33" s="1" t="s">
        <v>14</v>
      </c>
      <c r="D33">
        <v>148.56</v>
      </c>
      <c r="E33">
        <v>2</v>
      </c>
      <c r="F33">
        <v>297.12</v>
      </c>
    </row>
    <row r="34" spans="1:6" x14ac:dyDescent="0.35">
      <c r="A34" s="1" t="s">
        <v>9</v>
      </c>
      <c r="B34" s="1" t="s">
        <v>17</v>
      </c>
      <c r="C34" s="1" t="s">
        <v>11</v>
      </c>
      <c r="D34">
        <v>153.4</v>
      </c>
      <c r="E34">
        <v>1</v>
      </c>
      <c r="F34">
        <v>153.4</v>
      </c>
    </row>
    <row r="35" spans="1:6" x14ac:dyDescent="0.35">
      <c r="A35" s="1" t="s">
        <v>9</v>
      </c>
      <c r="B35" s="1" t="s">
        <v>17</v>
      </c>
      <c r="C35" s="1" t="s">
        <v>34</v>
      </c>
      <c r="D35">
        <v>40</v>
      </c>
      <c r="E35">
        <v>3</v>
      </c>
      <c r="F35">
        <v>120</v>
      </c>
    </row>
    <row r="36" spans="1:6" x14ac:dyDescent="0.35">
      <c r="A36" s="1" t="s">
        <v>9</v>
      </c>
      <c r="B36" s="1" t="s">
        <v>15</v>
      </c>
      <c r="C36" s="1" t="s">
        <v>26</v>
      </c>
      <c r="D36">
        <v>81.900000000000006</v>
      </c>
      <c r="E36">
        <v>8</v>
      </c>
      <c r="F36">
        <v>655.20000000000005</v>
      </c>
    </row>
    <row r="37" spans="1:6" x14ac:dyDescent="0.35">
      <c r="A37" s="1" t="s">
        <v>9</v>
      </c>
      <c r="B37" s="1" t="s">
        <v>15</v>
      </c>
      <c r="C37" s="1" t="s">
        <v>11</v>
      </c>
      <c r="D37">
        <v>153.4</v>
      </c>
      <c r="E37">
        <v>1</v>
      </c>
      <c r="F37">
        <v>153.4</v>
      </c>
    </row>
    <row r="38" spans="1:6" x14ac:dyDescent="0.35">
      <c r="A38" s="1" t="s">
        <v>35</v>
      </c>
      <c r="B38" s="1" t="s">
        <v>15</v>
      </c>
      <c r="C38" s="1" t="s">
        <v>11</v>
      </c>
      <c r="D38">
        <v>153.4</v>
      </c>
      <c r="E38">
        <v>1</v>
      </c>
      <c r="F38">
        <v>153.4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4B53-0608-48C3-976D-EAE8DEA61178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83447-32F0-4610-9952-0768C9BE1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2026-08-11T02:34:09Z</dcterms:created>
  <dcterms:modified xsi:type="dcterms:W3CDTF">2026-08-11T02:43:50Z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2026-08-11T02:43:32Z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6489794c-cd58-4910-bf2c-988894801162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
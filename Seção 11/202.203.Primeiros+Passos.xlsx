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11/"/>
    </mc:Choice>
  </mc:AlternateContent>
  <xr:revisionPtr revIDLastSave="48" documentId="8_{8CF03664-B9AE-416E-A2B2-20F6955C11E3}" xr6:coauthVersionLast="47" xr6:coauthVersionMax="47" xr10:uidLastSave="{CBB28242-8B35-4A69-958C-FF69186E0BC0}"/>
  <bookViews>
    <workbookView xWindow="-110" yWindow="-110" windowWidth="19420" windowHeight="11500" xr2:uid="{C6D6E735-1785-4E29-81CC-5F2EEF418C13}"/>
  </bookViews>
  <sheets>
    <sheet name="Vendas (3)" sheetId="4" r:id="rId1"/>
    <sheet name="Vendas" sheetId="3" r:id="rId2"/>
  </sheets>
  <definedNames>
    <definedName name="DadosExternos_1" localSheetId="1" hidden="1">Vendas!$A$1:$H$39</definedName>
    <definedName name="DadosExternos_2" localSheetId="0" hidden="1">'Vendas (3)'!$A$1:$B$4</definedName>
    <definedName name="DadosExternos_3" localSheetId="0" hidden="1">'Vendas (3)'!$D$1:$E$9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B4D2A5-0096-451B-B4F9-DA2C6DF0DC9C}" keepAlive="1" name="Consulta - Resumo por estado" description="Conexão com a consulta 'Resumo por estado' na pasta de trabalho." type="5" refreshedVersion="8" background="1" saveData="1">
    <dbPr connection="Provider=Microsoft.Mashup.OleDb.1;Data Source=$Workbook$;Location=&quot;Resumo por estado&quot;;Extended Properties=&quot;&quot;" command="SELECT * FROM [Resumo por estado]"/>
  </connection>
  <connection id="2" xr16:uid="{63E2FCD0-A22D-43FF-9948-632EA239C0E8}" keepAlive="1" name="Consulta - Resumo por Vendedor" description="Conexão com a consulta 'Resumo por Vendedor' na pasta de trabalho." type="5" refreshedVersion="8" background="1" saveData="1">
    <dbPr connection="Provider=Microsoft.Mashup.OleDb.1;Data Source=$Workbook$;Location=&quot;Resumo por Vendedor&quot;;Extended Properties=&quot;&quot;" command="SELECT * FROM [Resumo por Vendedor]"/>
  </connection>
  <connection id="3" xr16:uid="{64DBF4B1-2D42-45F9-B023-39D5A989CEF4}" keepAlive="1" name="Consulta - Vendas (2)" description="Conexão com a consulta 'Vendas (2)' na pasta de trabalho." type="5" refreshedVersion="8" background="1" saveData="1">
    <dbPr connection="Provider=Microsoft.Mashup.OleDb.1;Data Source=$Workbook$;Location=&quot;Vendas (2)&quot;;Extended Properties=&quot;&quot;" command="SELECT * FROM [Vendas (2)]"/>
  </connection>
</connections>
</file>

<file path=xl/sharedStrings.xml><?xml version="1.0" encoding="utf-8"?>
<sst xmlns="http://schemas.openxmlformats.org/spreadsheetml/2006/main" count="175" uniqueCount="51">
  <si>
    <t>Estado</t>
  </si>
  <si>
    <t>Vendedor</t>
  </si>
  <si>
    <t>Produto</t>
  </si>
  <si>
    <t>Data Venda</t>
  </si>
  <si>
    <t>Valor Unitário</t>
  </si>
  <si>
    <t>Unidades Vendidas</t>
  </si>
  <si>
    <t>São Paulo</t>
  </si>
  <si>
    <t>Leonardo Almeida</t>
  </si>
  <si>
    <t>Tênis Feminino</t>
  </si>
  <si>
    <t>dezembro</t>
  </si>
  <si>
    <t>Rio de Janeiro</t>
  </si>
  <si>
    <t>Eliane Moreira</t>
  </si>
  <si>
    <t>Calça Feminina Jogger</t>
  </si>
  <si>
    <t>janeiro</t>
  </si>
  <si>
    <t>Nicolas Pereira</t>
  </si>
  <si>
    <t>Camisa Masculina</t>
  </si>
  <si>
    <t>Santa Catarina</t>
  </si>
  <si>
    <t>Amanda Martins</t>
  </si>
  <si>
    <t>Bermuda Masculino</t>
  </si>
  <si>
    <t>Paulo Santos</t>
  </si>
  <si>
    <t>Camisa Masculina Festa Balada</t>
  </si>
  <si>
    <t>fevereiro</t>
  </si>
  <si>
    <t>Aline Rosa</t>
  </si>
  <si>
    <t>Bota Masculina</t>
  </si>
  <si>
    <t>Jaqueta Masculina Preta</t>
  </si>
  <si>
    <t>Bolsa de Trabalho</t>
  </si>
  <si>
    <t>março</t>
  </si>
  <si>
    <t>Kit de Pinceis de Maquiagem</t>
  </si>
  <si>
    <t>Vestido Infantil</t>
  </si>
  <si>
    <t>Calça Bailarina</t>
  </si>
  <si>
    <t>abril</t>
  </si>
  <si>
    <t>Camisa Térmica</t>
  </si>
  <si>
    <t>Sapato Social</t>
  </si>
  <si>
    <t>Sapatilha Sapato</t>
  </si>
  <si>
    <t>maio</t>
  </si>
  <si>
    <t>Colar Pingente</t>
  </si>
  <si>
    <t>Angela Maria</t>
  </si>
  <si>
    <t>Carlos Moreira</t>
  </si>
  <si>
    <t>junho</t>
  </si>
  <si>
    <t>julho</t>
  </si>
  <si>
    <t>agosto</t>
  </si>
  <si>
    <t>setembro</t>
  </si>
  <si>
    <t>outubro</t>
  </si>
  <si>
    <t>Boné</t>
  </si>
  <si>
    <t>Relógio</t>
  </si>
  <si>
    <t>novembro</t>
  </si>
  <si>
    <t>Chinelo</t>
  </si>
  <si>
    <t>Data mês</t>
  </si>
  <si>
    <t>Total Vendas</t>
  </si>
  <si>
    <t>GO</t>
  </si>
  <si>
    <t>Soma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</si>
</sst>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Resumo por Estados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'Vendas (3)'!$B$1</c:f>
              <c:strCache>
                <c:ptCount val="1"/>
                <c:pt idx="0">
                  <c:v>Soma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'Vendas (3)'!$A$2:$A$4</c:f>
              <c:strCache>
                <c:ptCount val="3"/>
                <c:pt idx="0">
                  <c:v>Rio de Janeiro</c:v>
                </c:pt>
                <c:pt idx="1">
                  <c:v>Santa Catarina</c:v>
                </c:pt>
                <c:pt idx="2">
                  <c:v>São Paulo</c:v>
                </c:pt>
              </c:strCache>
            </c:strRef>
          </c:cat>
          <c:val>
            <c:numRef>
              <c:f>'Vendas (3)'!$B$2:$B$4</c:f>
              <c:numCache>
                <c:formatCode>General</c:formatCode>
                <c:ptCount val="3"/>
                <c:pt idx="0">
                  <c:v>2313.59</c:v>
                </c:pt>
                <c:pt idx="1">
                  <c:v>2926.1299999999997</c:v>
                </c:pt>
                <c:pt idx="2">
                  <c:v>6795.2100000000009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4-4EBF-A1E1-2726C179A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0933920"/>
        <c:axId val="1420932480"/>
      </c:barChart>
      <c:catAx>
        <c:axId val="142093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0932480"/>
        <c:crosses val="autoZero"/>
        <c:auto val="1"/>
        <c:lblAlgn val="ctr"/>
        <c:lblOffset val="100"/>
        <c:noMultiLvlLbl val="0"/>
      </c:catAx>
      <c:valAx>
        <c:axId val="142093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093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Resumo por vendedor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'Vendas (3)'!$E$1</c:f>
              <c:strCache>
                <c:ptCount val="1"/>
                <c:pt idx="0">
                  <c:v>Total Vendas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'Vendas (3)'!$D$2:$D$9</c:f>
              <c:strCache>
                <c:ptCount val="8"/>
                <c:pt idx="0">
                  <c:v>Eliane Moreira</c:v>
                </c:pt>
                <c:pt idx="1">
                  <c:v>Angela Maria</c:v>
                </c:pt>
                <c:pt idx="2">
                  <c:v>Carlos Moreira</c:v>
                </c:pt>
                <c:pt idx="3">
                  <c:v>Amanda Martins</c:v>
                </c:pt>
                <c:pt idx="4">
                  <c:v>Aline Rosa</c:v>
                </c:pt>
                <c:pt idx="5">
                  <c:v>Nicolas Pereira</c:v>
                </c:pt>
                <c:pt idx="6">
                  <c:v>Leonardo Almeida</c:v>
                </c:pt>
                <c:pt idx="7">
                  <c:v>Paulo Santos</c:v>
                </c:pt>
              </c:strCache>
            </c:strRef>
          </c:cat>
          <c:val>
            <c:numRef>
              <c:f>'Vendas (3)'!$E$2:$E$9</c:f>
              <c:numCache>
                <c:formatCode>General</c:formatCode>
                <c:ptCount val="8"/>
                <c:pt idx="0">
                  <c:v>1754.24</c:v>
                </c:pt>
                <c:pt idx="1">
                  <c:v>559.35</c:v>
                </c:pt>
                <c:pt idx="2">
                  <c:v>969.99</c:v>
                </c:pt>
                <c:pt idx="3">
                  <c:v>1956.14</c:v>
                </c:pt>
                <c:pt idx="4">
                  <c:v>1691.22</c:v>
                </c:pt>
                <c:pt idx="5">
                  <c:v>2331.7399999999998</c:v>
                </c:pt>
                <c:pt idx="6">
                  <c:v>1817.51</c:v>
                </c:pt>
                <c:pt idx="7">
                  <c:v>954.74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4F-4D9F-95C2-566154F73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6813887"/>
        <c:axId val="696817727"/>
      </c:barChart>
      <c:catAx>
        <c:axId val="696813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6817727"/>
        <c:crosses val="autoZero"/>
        <c:auto val="1"/>
        <c:lblAlgn val="ctr"/>
        <c:lblOffset val="100"/>
        <c:noMultiLvlLbl val="0"/>
      </c:catAx>
      <c:valAx>
        <c:axId val="69681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681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244475</xdr:colOff>
      <xdr:row>9</xdr:row>
      <xdr:rowOff>38100</xdr:rowOff>
    </xdr:from>
    <xdr:to>
      <xdr:col>5</xdr:col>
      <xdr:colOff>130175</xdr:colOff>
      <xdr:row>24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9FE4C60-ACDD-1EC1-9D75-EB3C42A41F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343647</xdr:colOff>
      <xdr:row>9</xdr:row>
      <xdr:rowOff>62753</xdr:rowOff>
    </xdr:from>
    <xdr:to>
      <xdr:col>10</xdr:col>
      <xdr:colOff>306294</xdr:colOff>
      <xdr:row>24</xdr:row>
      <xdr:rowOff>4482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0E2651-A443-B766-FADC-AFADD8A72E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77CDCA99-4E9F-4C4E-9168-0822760E9ED5}" autoFormatId="16" applyNumberFormats="0" applyBorderFormats="0" applyFontFormats="0" applyPatternFormats="0" applyAlignmentFormats="0" applyWidthHeightFormats="0">
  <queryTableRefresh nextId="10">
    <queryTableFields count="2">
      <queryTableField id="1" name="Estado" tableColumnId="1"/>
      <queryTableField id="9" name="Soma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2" xr16:uid="{E0324DB9-22E0-4841-8C2C-A3E59F7D84C8}" autoFormatId="16" applyNumberFormats="0" applyBorderFormats="0" applyFontFormats="0" applyPatternFormats="0" applyAlignmentFormats="0" applyWidthHeightFormats="0">
  <queryTableRefresh nextId="12">
    <queryTableFields count="2">
      <queryTableField id="10" name="Vendedor" tableColumnId="10"/>
      <queryTableField id="11" name="Total Vendas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264FDE5F-7208-45BC-9535-778F1B17C9B2}" autoFormatId="16" applyNumberFormats="0" applyBorderFormats="0" applyFontFormats="0" applyPatternFormats="0" applyAlignmentFormats="0" applyWidthHeightFormats="0">
  <queryTableRefresh nextId="9">
    <queryTableFields count="8">
      <queryTableField id="1" name="Estado" tableColumnId="1"/>
      <queryTableField id="2" name="Vendedor" tableColumnId="2"/>
      <queryTableField id="3" name="Produto" tableColumnId="3"/>
      <queryTableField id="4" name="Data Venda" tableColumnId="4"/>
      <queryTableField id="5" name="Data mês" tableColumnId="5"/>
      <queryTableField id="6" name="Valor Unitário" tableColumnId="6"/>
      <queryTableField id="7" name="Unidades Vendidas" tableColumnId="7"/>
      <queryTableField id="8" name="Total Venda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C4CFB8-88C9-4613-9605-14FB33782E78}" name="Resumo_por_estado" displayName="Resumo_por_estado" ref="A1:B4" tableType="queryTable" totalsRowShown="0">
  <autoFilter ref="A1:B4" xr:uid="{5FC4CFB8-88C9-4613-9605-14FB33782E78}"/>
  <tableColumns count="2">
    <tableColumn id="1" xr3:uid="{3BFCDD1C-964C-400B-8DF0-9B1FBFB46588}" uniqueName="1" name="Estado" queryTableFieldId="1" dataDxfId="6"/>
    <tableColumn id="9" xr3:uid="{675DE9E6-0DCA-4E97-976A-E0F62BA8963D}" uniqueName="9" name="Soma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99D8D8-09AD-4F36-87D6-2011CC990FD9}" name="Resumo_por_Vendedor" displayName="Resumo_por_Vendedor" ref="D1:E9" tableType="queryTable" totalsRowShown="0">
  <autoFilter ref="D1:E9" xr:uid="{5199D8D8-09AD-4F36-87D6-2011CC990FD9}"/>
  <tableColumns count="2">
    <tableColumn id="10" xr3:uid="{1DAE8687-317B-44E3-96A7-A8D5AF9E4256}" uniqueName="10" name="Vendedor" queryTableFieldId="10" dataDxfId="5"/>
    <tableColumn id="11" xr3:uid="{0141FED0-86A0-4031-88DE-0C317AEE427C}" uniqueName="11" name="Total Vendas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7643F9-06D9-418E-BD83-F650DAC4569C}" name="Vendas__2" displayName="Vendas__2" ref="A1:H39" tableType="queryTable" totalsRowShown="0">
  <autoFilter ref="A1:H39" xr:uid="{AD7643F9-06D9-418E-BD83-F650DAC4569C}"/>
  <tableColumns count="8">
    <tableColumn id="1" xr3:uid="{94D88011-DC54-4501-9145-AB7C255C7B1A}" uniqueName="1" name="Estado" queryTableFieldId="1" dataDxfId="4"/>
    <tableColumn id="2" xr3:uid="{5DD35E49-1D26-4B5E-8FAE-3F1D586BEED1}" uniqueName="2" name="Vendedor" queryTableFieldId="2" dataDxfId="3"/>
    <tableColumn id="3" xr3:uid="{BEEC7C15-9A1B-4BAF-9B97-DCE681E4776A}" uniqueName="3" name="Produto" queryTableFieldId="3" dataDxfId="2"/>
    <tableColumn id="4" xr3:uid="{CF041890-485C-43CE-AE15-2F35D393CBC3}" uniqueName="4" name="Data Venda" queryTableFieldId="4" dataDxfId="1"/>
    <tableColumn id="5" xr3:uid="{4EB57C06-EBD8-4992-A6C1-92EED55ED8DA}" uniqueName="5" name="Data mês" queryTableFieldId="5" dataDxfId="0"/>
    <tableColumn id="6" xr3:uid="{C02DBF7B-0D53-42D7-8086-226E68D7790F}" uniqueName="6" name="Valor Unitário" queryTableFieldId="6"/>
    <tableColumn id="7" xr3:uid="{D2FD2FED-CC97-4705-8E85-AAD1BDF3951A}" uniqueName="7" name="Unidades Vendidas" queryTableFieldId="7"/>
    <tableColumn id="8" xr3:uid="{5452B1B0-5E1C-4EF5-9D05-511ACC6CCAAF}" uniqueName="8" name="Total Vendas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AF598-9F3F-4672-97BE-83FCFBF9CE72}">
  <dimension ref="A1:E9"/>
  <sheetViews>
    <sheetView tabSelected="1" zoomScale="85" zoomScaleNormal="85" workbookViewId="0">
      <selection activeCell="I7" sqref="I7"/>
    </sheetView>
  </sheetViews>
  <sheetFormatPr defaultRowHeight="14.5" x14ac:dyDescent="0.35"/>
  <cols>
    <col min="1" max="1" width="13" bestFit="1" customWidth="1"/>
    <col min="2" max="2" width="7.81640625" bestFit="1" customWidth="1"/>
    <col min="3" max="3" width="16.08984375" bestFit="1" customWidth="1"/>
    <col min="4" max="4" width="16.1796875" bestFit="1" customWidth="1"/>
    <col min="5" max="5" width="14" bestFit="1" customWidth="1"/>
    <col min="6" max="6" width="13" bestFit="1" customWidth="1"/>
    <col min="7" max="7" width="7.81640625" bestFit="1" customWidth="1"/>
    <col min="8" max="8" width="11" bestFit="1" customWidth="1"/>
    <col min="9" max="9" width="14.81640625" bestFit="1" customWidth="1"/>
    <col min="10" max="10" width="19.26953125" bestFit="1" customWidth="1"/>
    <col min="11" max="11" width="14" bestFit="1" customWidth="1"/>
  </cols>
  <sheetData>
    <row r="1" spans="1:5" x14ac:dyDescent="0.35">
      <c r="A1" t="s">
        <v>0</v>
      </c>
      <c r="B1" t="s">
        <v>50</v>
      </c>
      <c r="D1" t="s">
        <v>1</v>
      </c>
      <c r="E1" t="s">
        <v>48</v>
      </c>
    </row>
    <row r="2" spans="1:5" x14ac:dyDescent="0.35">
      <c r="A2" t="s">
        <v>10</v>
      </c>
      <c r="B2">
        <v>2313.59</v>
      </c>
      <c r="D2" t="s">
        <v>11</v>
      </c>
      <c r="E2">
        <v>1754.24</v>
      </c>
    </row>
    <row r="3" spans="1:5" x14ac:dyDescent="0.35">
      <c r="A3" t="s">
        <v>16</v>
      </c>
      <c r="B3">
        <v>2926.1299999999997</v>
      </c>
      <c r="D3" t="s">
        <v>36</v>
      </c>
      <c r="E3">
        <v>559.35</v>
      </c>
    </row>
    <row r="4" spans="1:5" x14ac:dyDescent="0.35">
      <c r="A4" t="s">
        <v>6</v>
      </c>
      <c r="B4">
        <v>6795.2100000000009</v>
      </c>
      <c r="D4" t="s">
        <v>37</v>
      </c>
      <c r="E4">
        <v>969.99</v>
      </c>
    </row>
    <row r="5" spans="1:5" x14ac:dyDescent="0.35">
      <c r="D5" t="s">
        <v>17</v>
      </c>
      <c r="E5">
        <v>1956.14</v>
      </c>
    </row>
    <row r="6" spans="1:5" x14ac:dyDescent="0.35">
      <c r="D6" t="s">
        <v>22</v>
      </c>
      <c r="E6">
        <v>1691.22</v>
      </c>
    </row>
    <row r="7" spans="1:5" x14ac:dyDescent="0.35">
      <c r="D7" t="s">
        <v>14</v>
      </c>
      <c r="E7">
        <v>2331.7399999999998</v>
      </c>
    </row>
    <row r="8" spans="1:5" x14ac:dyDescent="0.35">
      <c r="D8" t="s">
        <v>7</v>
      </c>
      <c r="E8">
        <v>1817.51</v>
      </c>
    </row>
    <row r="9" spans="1:5" x14ac:dyDescent="0.35">
      <c r="D9" t="s">
        <v>19</v>
      </c>
      <c r="E9">
        <v>954.74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7AC6A-6E95-4661-A17A-7F927B973DA9}">
  <dimension ref="A1:H39"/>
  <sheetViews>
    <sheetView workbookViewId="0">
      <selection sqref="A1:H39"/>
    </sheetView>
  </sheetViews>
  <sheetFormatPr defaultRowHeight="14.5" x14ac:dyDescent="0.35"/>
  <cols>
    <col min="1" max="1" width="13" bestFit="1" customWidth="1"/>
    <col min="2" max="2" width="16.08984375" bestFit="1" customWidth="1"/>
    <col min="3" max="3" width="27" bestFit="1" customWidth="1"/>
    <col min="4" max="4" width="12.90625" bestFit="1" customWidth="1"/>
    <col min="5" max="5" width="11" bestFit="1" customWidth="1"/>
    <col min="6" max="6" width="14.81640625" bestFit="1" customWidth="1"/>
    <col min="7" max="7" width="19.26953125" bestFit="1" customWidth="1"/>
    <col min="8" max="8" width="14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47</v>
      </c>
      <c r="F1" t="s">
        <v>4</v>
      </c>
      <c r="G1" t="s">
        <v>5</v>
      </c>
      <c r="H1" t="s">
        <v>48</v>
      </c>
    </row>
    <row r="2" spans="1:8" x14ac:dyDescent="0.35">
      <c r="A2" t="s">
        <v>49</v>
      </c>
      <c r="B2" t="s">
        <v>19</v>
      </c>
      <c r="C2" t="s">
        <v>15</v>
      </c>
      <c r="D2" s="1">
        <v>45283</v>
      </c>
      <c r="E2" t="s">
        <v>9</v>
      </c>
      <c r="F2">
        <v>153.4</v>
      </c>
      <c r="G2">
        <v>1</v>
      </c>
      <c r="H2">
        <v>153.4</v>
      </c>
    </row>
    <row r="3" spans="1:8" x14ac:dyDescent="0.35">
      <c r="A3" t="s">
        <v>10</v>
      </c>
      <c r="B3" t="s">
        <v>36</v>
      </c>
      <c r="C3" t="s">
        <v>28</v>
      </c>
      <c r="D3" s="1">
        <v>45213</v>
      </c>
      <c r="E3" t="s">
        <v>42</v>
      </c>
      <c r="F3">
        <v>59.9</v>
      </c>
      <c r="G3">
        <v>2</v>
      </c>
      <c r="H3">
        <v>119.8</v>
      </c>
    </row>
    <row r="4" spans="1:8" x14ac:dyDescent="0.35">
      <c r="A4" t="s">
        <v>10</v>
      </c>
      <c r="B4" t="s">
        <v>11</v>
      </c>
      <c r="C4" t="s">
        <v>12</v>
      </c>
      <c r="D4" s="1">
        <v>44933</v>
      </c>
      <c r="E4" t="s">
        <v>13</v>
      </c>
      <c r="F4">
        <v>69.989999999999995</v>
      </c>
      <c r="G4">
        <v>5</v>
      </c>
      <c r="H4">
        <v>349.95</v>
      </c>
    </row>
    <row r="5" spans="1:8" x14ac:dyDescent="0.35">
      <c r="A5" t="s">
        <v>10</v>
      </c>
      <c r="B5" t="s">
        <v>11</v>
      </c>
      <c r="C5" t="s">
        <v>25</v>
      </c>
      <c r="D5" s="1">
        <v>45143</v>
      </c>
      <c r="E5" t="s">
        <v>40</v>
      </c>
      <c r="F5">
        <v>248.73</v>
      </c>
      <c r="G5">
        <v>2</v>
      </c>
      <c r="H5">
        <v>497.46</v>
      </c>
    </row>
    <row r="6" spans="1:8" x14ac:dyDescent="0.35">
      <c r="A6" t="s">
        <v>10</v>
      </c>
      <c r="B6" t="s">
        <v>36</v>
      </c>
      <c r="C6" t="s">
        <v>27</v>
      </c>
      <c r="D6" s="1">
        <v>45203</v>
      </c>
      <c r="E6" t="s">
        <v>42</v>
      </c>
      <c r="F6">
        <v>116.52</v>
      </c>
      <c r="G6">
        <v>3</v>
      </c>
      <c r="H6">
        <v>349.56</v>
      </c>
    </row>
    <row r="7" spans="1:8" x14ac:dyDescent="0.35">
      <c r="A7" t="s">
        <v>10</v>
      </c>
      <c r="B7" t="s">
        <v>11</v>
      </c>
      <c r="C7" t="s">
        <v>15</v>
      </c>
      <c r="D7" s="1">
        <v>45093</v>
      </c>
      <c r="E7" t="s">
        <v>38</v>
      </c>
      <c r="F7">
        <v>153.4</v>
      </c>
      <c r="G7">
        <v>2</v>
      </c>
      <c r="H7">
        <v>306.8</v>
      </c>
    </row>
    <row r="8" spans="1:8" x14ac:dyDescent="0.35">
      <c r="A8" t="s">
        <v>10</v>
      </c>
      <c r="B8" t="s">
        <v>11</v>
      </c>
      <c r="C8" t="s">
        <v>25</v>
      </c>
      <c r="D8" s="1">
        <v>44993</v>
      </c>
      <c r="E8" t="s">
        <v>26</v>
      </c>
      <c r="F8">
        <v>248.73</v>
      </c>
      <c r="G8">
        <v>1</v>
      </c>
      <c r="H8">
        <v>248.73</v>
      </c>
    </row>
    <row r="9" spans="1:8" x14ac:dyDescent="0.35">
      <c r="A9" t="s">
        <v>10</v>
      </c>
      <c r="B9" t="s">
        <v>36</v>
      </c>
      <c r="C9" t="s">
        <v>8</v>
      </c>
      <c r="D9" s="1">
        <v>45073</v>
      </c>
      <c r="E9" t="s">
        <v>34</v>
      </c>
      <c r="F9">
        <v>89.99</v>
      </c>
      <c r="G9">
        <v>1</v>
      </c>
      <c r="H9">
        <v>89.99</v>
      </c>
    </row>
    <row r="10" spans="1:8" x14ac:dyDescent="0.35">
      <c r="A10" t="s">
        <v>10</v>
      </c>
      <c r="B10" t="s">
        <v>11</v>
      </c>
      <c r="C10" t="s">
        <v>35</v>
      </c>
      <c r="D10" s="1">
        <v>45063</v>
      </c>
      <c r="E10" t="s">
        <v>34</v>
      </c>
      <c r="F10">
        <v>89.9</v>
      </c>
      <c r="G10">
        <v>1</v>
      </c>
      <c r="H10">
        <v>89.9</v>
      </c>
    </row>
    <row r="11" spans="1:8" x14ac:dyDescent="0.35">
      <c r="A11" t="s">
        <v>10</v>
      </c>
      <c r="B11" t="s">
        <v>11</v>
      </c>
      <c r="C11" t="s">
        <v>31</v>
      </c>
      <c r="D11" s="1">
        <v>45033</v>
      </c>
      <c r="E11" t="s">
        <v>30</v>
      </c>
      <c r="F11">
        <v>41.9</v>
      </c>
      <c r="G11">
        <v>4</v>
      </c>
      <c r="H11">
        <v>167.6</v>
      </c>
    </row>
    <row r="12" spans="1:8" x14ac:dyDescent="0.35">
      <c r="A12" t="s">
        <v>10</v>
      </c>
      <c r="B12" t="s">
        <v>11</v>
      </c>
      <c r="C12" t="s">
        <v>29</v>
      </c>
      <c r="D12" s="1">
        <v>45173</v>
      </c>
      <c r="E12" t="s">
        <v>41</v>
      </c>
      <c r="F12">
        <v>46.9</v>
      </c>
      <c r="G12">
        <v>2</v>
      </c>
      <c r="H12">
        <v>93.8</v>
      </c>
    </row>
    <row r="13" spans="1:8" x14ac:dyDescent="0.35">
      <c r="A13" t="s">
        <v>16</v>
      </c>
      <c r="B13" t="s">
        <v>17</v>
      </c>
      <c r="C13" t="s">
        <v>32</v>
      </c>
      <c r="D13" s="1">
        <v>45193</v>
      </c>
      <c r="E13" t="s">
        <v>41</v>
      </c>
      <c r="F13">
        <v>81.900000000000006</v>
      </c>
      <c r="G13">
        <v>4</v>
      </c>
      <c r="H13">
        <v>327.60000000000002</v>
      </c>
    </row>
    <row r="14" spans="1:8" x14ac:dyDescent="0.35">
      <c r="A14" t="s">
        <v>16</v>
      </c>
      <c r="B14" t="s">
        <v>37</v>
      </c>
      <c r="C14" t="s">
        <v>12</v>
      </c>
      <c r="D14" s="1">
        <v>45083</v>
      </c>
      <c r="E14" t="s">
        <v>38</v>
      </c>
      <c r="F14">
        <v>69.989999999999995</v>
      </c>
      <c r="G14">
        <v>1</v>
      </c>
      <c r="H14">
        <v>69.989999999999995</v>
      </c>
    </row>
    <row r="15" spans="1:8" x14ac:dyDescent="0.35">
      <c r="A15" t="s">
        <v>16</v>
      </c>
      <c r="B15" t="s">
        <v>17</v>
      </c>
      <c r="C15" t="s">
        <v>28</v>
      </c>
      <c r="D15" s="1">
        <v>45163</v>
      </c>
      <c r="E15" t="s">
        <v>40</v>
      </c>
      <c r="F15">
        <v>59.9</v>
      </c>
      <c r="G15">
        <v>2</v>
      </c>
      <c r="H15">
        <v>119.8</v>
      </c>
    </row>
    <row r="16" spans="1:8" x14ac:dyDescent="0.35">
      <c r="A16" t="s">
        <v>16</v>
      </c>
      <c r="B16" t="s">
        <v>37</v>
      </c>
      <c r="C16" t="s">
        <v>43</v>
      </c>
      <c r="D16" s="1">
        <v>45223</v>
      </c>
      <c r="E16" t="s">
        <v>42</v>
      </c>
      <c r="F16">
        <v>40</v>
      </c>
      <c r="G16">
        <v>3</v>
      </c>
      <c r="H16">
        <v>120</v>
      </c>
    </row>
    <row r="17" spans="1:8" x14ac:dyDescent="0.35">
      <c r="A17" t="s">
        <v>16</v>
      </c>
      <c r="B17" t="s">
        <v>17</v>
      </c>
      <c r="C17" t="s">
        <v>28</v>
      </c>
      <c r="D17" s="1">
        <v>45013</v>
      </c>
      <c r="E17" t="s">
        <v>26</v>
      </c>
      <c r="F17">
        <v>59.9</v>
      </c>
      <c r="G17">
        <v>1</v>
      </c>
      <c r="H17">
        <v>59.9</v>
      </c>
    </row>
    <row r="18" spans="1:8" x14ac:dyDescent="0.35">
      <c r="A18" t="s">
        <v>16</v>
      </c>
      <c r="B18" t="s">
        <v>37</v>
      </c>
      <c r="C18" t="s">
        <v>44</v>
      </c>
      <c r="D18" s="1">
        <v>45233</v>
      </c>
      <c r="E18" t="s">
        <v>45</v>
      </c>
      <c r="F18">
        <v>390</v>
      </c>
      <c r="G18">
        <v>2</v>
      </c>
      <c r="H18">
        <v>780</v>
      </c>
    </row>
    <row r="19" spans="1:8" x14ac:dyDescent="0.35">
      <c r="A19" t="s">
        <v>16</v>
      </c>
      <c r="B19" t="s">
        <v>17</v>
      </c>
      <c r="C19" t="s">
        <v>18</v>
      </c>
      <c r="D19" s="1">
        <v>44953</v>
      </c>
      <c r="E19" t="s">
        <v>13</v>
      </c>
      <c r="F19">
        <v>148.56</v>
      </c>
      <c r="G19">
        <v>9</v>
      </c>
      <c r="H19">
        <v>1337.04</v>
      </c>
    </row>
    <row r="20" spans="1:8" x14ac:dyDescent="0.35">
      <c r="A20" t="s">
        <v>16</v>
      </c>
      <c r="B20" t="s">
        <v>17</v>
      </c>
      <c r="C20" t="s">
        <v>33</v>
      </c>
      <c r="D20" s="1">
        <v>45053</v>
      </c>
      <c r="E20" t="s">
        <v>34</v>
      </c>
      <c r="F20">
        <v>55.9</v>
      </c>
      <c r="G20">
        <v>2</v>
      </c>
      <c r="H20">
        <v>111.8</v>
      </c>
    </row>
    <row r="21" spans="1:8" x14ac:dyDescent="0.35">
      <c r="A21" t="s">
        <v>6</v>
      </c>
      <c r="B21" t="s">
        <v>22</v>
      </c>
      <c r="C21" t="s">
        <v>18</v>
      </c>
      <c r="D21" s="1">
        <v>45243</v>
      </c>
      <c r="E21" t="s">
        <v>45</v>
      </c>
      <c r="F21">
        <v>148.56</v>
      </c>
      <c r="G21">
        <v>2</v>
      </c>
      <c r="H21">
        <v>297.12</v>
      </c>
    </row>
    <row r="22" spans="1:8" x14ac:dyDescent="0.35">
      <c r="A22" t="s">
        <v>6</v>
      </c>
      <c r="B22" t="s">
        <v>22</v>
      </c>
      <c r="C22" t="s">
        <v>15</v>
      </c>
      <c r="D22" s="1">
        <v>45253</v>
      </c>
      <c r="E22" t="s">
        <v>45</v>
      </c>
      <c r="F22">
        <v>153.4</v>
      </c>
      <c r="G22">
        <v>1</v>
      </c>
      <c r="H22">
        <v>153.4</v>
      </c>
    </row>
    <row r="23" spans="1:8" x14ac:dyDescent="0.35">
      <c r="A23" t="s">
        <v>6</v>
      </c>
      <c r="B23" t="s">
        <v>22</v>
      </c>
      <c r="C23" t="s">
        <v>46</v>
      </c>
      <c r="D23" s="1">
        <v>45263</v>
      </c>
      <c r="E23" t="s">
        <v>9</v>
      </c>
      <c r="F23">
        <v>40</v>
      </c>
      <c r="G23">
        <v>3</v>
      </c>
      <c r="H23">
        <v>120</v>
      </c>
    </row>
    <row r="24" spans="1:8" x14ac:dyDescent="0.35">
      <c r="A24" t="s">
        <v>6</v>
      </c>
      <c r="B24" t="s">
        <v>14</v>
      </c>
      <c r="C24" t="s">
        <v>31</v>
      </c>
      <c r="D24" s="1">
        <v>45183</v>
      </c>
      <c r="E24" t="s">
        <v>41</v>
      </c>
      <c r="F24">
        <v>41.9</v>
      </c>
      <c r="G24">
        <v>2</v>
      </c>
      <c r="H24">
        <v>83.8</v>
      </c>
    </row>
    <row r="25" spans="1:8" x14ac:dyDescent="0.35">
      <c r="A25" t="s">
        <v>6</v>
      </c>
      <c r="B25" t="s">
        <v>19</v>
      </c>
      <c r="C25" t="s">
        <v>32</v>
      </c>
      <c r="D25" s="1">
        <v>45273</v>
      </c>
      <c r="E25" t="s">
        <v>9</v>
      </c>
      <c r="F25">
        <v>81.900000000000006</v>
      </c>
      <c r="G25">
        <v>8</v>
      </c>
      <c r="H25">
        <v>655.20000000000005</v>
      </c>
    </row>
    <row r="26" spans="1:8" x14ac:dyDescent="0.35">
      <c r="A26" t="s">
        <v>6</v>
      </c>
      <c r="B26" t="s">
        <v>7</v>
      </c>
      <c r="C26" t="s">
        <v>8</v>
      </c>
      <c r="D26" s="1">
        <v>44923</v>
      </c>
      <c r="E26" t="s">
        <v>9</v>
      </c>
      <c r="F26">
        <v>89.99</v>
      </c>
      <c r="G26">
        <v>3</v>
      </c>
      <c r="H26">
        <v>269.97000000000003</v>
      </c>
    </row>
    <row r="27" spans="1:8" x14ac:dyDescent="0.35">
      <c r="A27" t="s">
        <v>6</v>
      </c>
      <c r="B27" t="s">
        <v>14</v>
      </c>
      <c r="C27" t="s">
        <v>18</v>
      </c>
      <c r="D27" s="1">
        <v>45103</v>
      </c>
      <c r="E27" t="s">
        <v>38</v>
      </c>
      <c r="F27">
        <v>148.56</v>
      </c>
      <c r="G27">
        <v>6</v>
      </c>
      <c r="H27">
        <v>891.36</v>
      </c>
    </row>
    <row r="28" spans="1:8" x14ac:dyDescent="0.35">
      <c r="A28" t="s">
        <v>6</v>
      </c>
      <c r="B28" t="s">
        <v>7</v>
      </c>
      <c r="C28" t="s">
        <v>24</v>
      </c>
      <c r="D28" s="1">
        <v>45133</v>
      </c>
      <c r="E28" t="s">
        <v>39</v>
      </c>
      <c r="F28">
        <v>150.5</v>
      </c>
      <c r="G28">
        <v>5</v>
      </c>
      <c r="H28">
        <v>752.5</v>
      </c>
    </row>
    <row r="29" spans="1:8" x14ac:dyDescent="0.35">
      <c r="A29" t="s">
        <v>6</v>
      </c>
      <c r="B29" t="s">
        <v>22</v>
      </c>
      <c r="C29" t="s">
        <v>23</v>
      </c>
      <c r="D29" s="1">
        <v>45123</v>
      </c>
      <c r="E29" t="s">
        <v>39</v>
      </c>
      <c r="F29">
        <v>224.14</v>
      </c>
      <c r="G29">
        <v>1</v>
      </c>
      <c r="H29">
        <v>224.14</v>
      </c>
    </row>
    <row r="30" spans="1:8" x14ac:dyDescent="0.35">
      <c r="A30" t="s">
        <v>6</v>
      </c>
      <c r="B30" t="s">
        <v>7</v>
      </c>
      <c r="C30" t="s">
        <v>20</v>
      </c>
      <c r="D30" s="1">
        <v>45113</v>
      </c>
      <c r="E30" t="s">
        <v>39</v>
      </c>
      <c r="F30">
        <v>146.13999999999999</v>
      </c>
      <c r="G30">
        <v>1</v>
      </c>
      <c r="H30">
        <v>146.13999999999999</v>
      </c>
    </row>
    <row r="31" spans="1:8" x14ac:dyDescent="0.35">
      <c r="A31" t="s">
        <v>6</v>
      </c>
      <c r="B31" t="s">
        <v>14</v>
      </c>
      <c r="C31" t="s">
        <v>32</v>
      </c>
      <c r="D31" s="1">
        <v>45043</v>
      </c>
      <c r="E31" t="s">
        <v>30</v>
      </c>
      <c r="F31">
        <v>81.900000000000006</v>
      </c>
      <c r="G31">
        <v>9</v>
      </c>
      <c r="H31">
        <v>737.1</v>
      </c>
    </row>
    <row r="32" spans="1:8" x14ac:dyDescent="0.35">
      <c r="A32" t="s">
        <v>6</v>
      </c>
      <c r="B32" t="s">
        <v>7</v>
      </c>
      <c r="C32" t="s">
        <v>29</v>
      </c>
      <c r="D32" s="1">
        <v>45023</v>
      </c>
      <c r="E32" t="s">
        <v>30</v>
      </c>
      <c r="F32">
        <v>46.9</v>
      </c>
      <c r="G32">
        <v>1</v>
      </c>
      <c r="H32">
        <v>46.9</v>
      </c>
    </row>
    <row r="33" spans="1:8" x14ac:dyDescent="0.35">
      <c r="A33" t="s">
        <v>6</v>
      </c>
      <c r="B33" t="s">
        <v>14</v>
      </c>
      <c r="C33" t="s">
        <v>27</v>
      </c>
      <c r="D33" s="1">
        <v>45003</v>
      </c>
      <c r="E33" t="s">
        <v>26</v>
      </c>
      <c r="F33">
        <v>116.52</v>
      </c>
      <c r="G33">
        <v>1</v>
      </c>
      <c r="H33">
        <v>116.52</v>
      </c>
    </row>
    <row r="34" spans="1:8" x14ac:dyDescent="0.35">
      <c r="A34" t="s">
        <v>6</v>
      </c>
      <c r="B34" t="s">
        <v>7</v>
      </c>
      <c r="C34" t="s">
        <v>24</v>
      </c>
      <c r="D34" s="1">
        <v>44983</v>
      </c>
      <c r="E34" t="s">
        <v>21</v>
      </c>
      <c r="F34">
        <v>150.5</v>
      </c>
      <c r="G34">
        <v>4</v>
      </c>
      <c r="H34">
        <v>602</v>
      </c>
    </row>
    <row r="35" spans="1:8" x14ac:dyDescent="0.35">
      <c r="A35" t="s">
        <v>6</v>
      </c>
      <c r="B35" t="s">
        <v>22</v>
      </c>
      <c r="C35" t="s">
        <v>23</v>
      </c>
      <c r="D35" s="1">
        <v>44973</v>
      </c>
      <c r="E35" t="s">
        <v>21</v>
      </c>
      <c r="F35">
        <v>224.14</v>
      </c>
      <c r="G35">
        <v>4</v>
      </c>
      <c r="H35">
        <v>896.56</v>
      </c>
    </row>
    <row r="36" spans="1:8" x14ac:dyDescent="0.35">
      <c r="A36" t="s">
        <v>6</v>
      </c>
      <c r="B36" t="s">
        <v>19</v>
      </c>
      <c r="C36" t="s">
        <v>20</v>
      </c>
      <c r="D36" s="1">
        <v>44963</v>
      </c>
      <c r="E36" t="s">
        <v>21</v>
      </c>
      <c r="F36">
        <v>146.13999999999999</v>
      </c>
      <c r="G36">
        <v>1</v>
      </c>
      <c r="H36">
        <v>146.13999999999999</v>
      </c>
    </row>
    <row r="37" spans="1:8" x14ac:dyDescent="0.35">
      <c r="A37" t="s">
        <v>6</v>
      </c>
      <c r="B37" t="s">
        <v>14</v>
      </c>
      <c r="C37" t="s">
        <v>15</v>
      </c>
      <c r="D37" s="1">
        <v>44943</v>
      </c>
      <c r="E37" t="s">
        <v>13</v>
      </c>
      <c r="F37">
        <v>153.4</v>
      </c>
      <c r="G37">
        <v>1</v>
      </c>
      <c r="H37">
        <v>153.4</v>
      </c>
    </row>
    <row r="38" spans="1:8" x14ac:dyDescent="0.35">
      <c r="A38" t="s">
        <v>6</v>
      </c>
      <c r="B38" t="s">
        <v>14</v>
      </c>
      <c r="C38" t="s">
        <v>27</v>
      </c>
      <c r="D38" s="1">
        <v>45153</v>
      </c>
      <c r="E38" t="s">
        <v>40</v>
      </c>
      <c r="F38">
        <v>116.52</v>
      </c>
      <c r="G38">
        <v>3</v>
      </c>
      <c r="H38">
        <v>349.56</v>
      </c>
    </row>
    <row r="39" spans="1:8" x14ac:dyDescent="0.35">
      <c r="A39" t="s">
        <v>6</v>
      </c>
      <c r="B39" t="s">
        <v>19</v>
      </c>
      <c r="C39" t="s">
        <v>15</v>
      </c>
      <c r="D39" s="1">
        <v>45283</v>
      </c>
      <c r="E39" t="s">
        <v>9</v>
      </c>
      <c r="F39">
        <v>153.4</v>
      </c>
      <c r="G39">
        <v>1</v>
      </c>
      <c r="H39">
        <v>153.4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A0A769-C1E5-41A8-90C1-EC1B126D17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Vendas (3)</vt:lpstr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2022-04-29T01:35:43Z</dcterms:created>
  <dcterms:modified xsi:type="dcterms:W3CDTF">2026-08-11T00:55:28Z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2026-08-11T00:34:48Z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d702db76-d365-477c-a20a-6fb257fecc26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
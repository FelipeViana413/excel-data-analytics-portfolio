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A:\Curso de Excel\Power Pivot\Arquivos Aula\"/>
    </mc:Choice>
  </mc:AlternateContent>
  <xr:revisionPtr revIDLastSave="0" documentId="8_{B5FDA9C3-FD6B-4EC2-92C5-01895B61267A}" xr6:coauthVersionLast="46" xr6:coauthVersionMax="46" xr10:uidLastSave="{00000000-0000-0000-0000-000000000000}"/>
  <bookViews>
    <workbookView xWindow="-108" yWindow="-108" windowWidth="23256" windowHeight="12576" xr2:uid="{3C002874-5F22-4257-9F4D-64EB2F4923AA}"/>
  </bookViews>
  <sheets>
    <sheet name="Planilha1" sheetId="2" r:id="rId1"/>
    <sheet name="Vendas" sheetId="1" r:id="rId2"/>
  </sheets>
  <definedNames>
    <definedName name="_xlnm._FilterDatabase" localSheetId="1" hidden="1">Vendas!$A$1:$D$22</definedName>
    <definedName name="_xlcn.WorksheetConnection_Base_Funções_Informações.xlsxTabela11" hidden="1">Tabela1[]</definedName>
  </definedNames>
  <calcPr calcId="191029"/>
  <pivotCaches>
    <pivotCache cacheId="56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a1" name="Tabela1" connection="WorksheetConnection_Base_Funções_Informações.xlsx!Tabe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56B707-1257-440F-A3E2-F9CCC570598E}" keepAlive="1" name="ThisWorkbookDataModel" description="Modelo de Dados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B85575A-93C3-43F1-9247-25891F9AE9F5}" name="WorksheetConnection_Base_Funções_Informações.xlsx!Tabela1" type="102" refreshedVersion="6" minRefreshableVersion="5">
    <extLst>
      <ext xmlns:x15="http://schemas.microsoft.com/office/spreadsheetml/2010/11/main" uri="{DE250136-89BD-433C-8126-D09CA5730AF9}">
        <x15:connection id="Tabela1">
          <x15:rangePr sourceName="_xlcn.WorksheetConnection_Base_Funções_Informações.xlsxTabela11"/>
        </x15:connection>
      </ext>
    </extLst>
  </connection>
</connections>
</file>

<file path=xl/sharedStrings.xml><?xml version="1.0" encoding="utf-8"?>
<sst xmlns="http://schemas.openxmlformats.org/spreadsheetml/2006/main" count="97" uniqueCount="57">
  <si>
    <t>Qtd Vendidas</t>
  </si>
  <si>
    <t>Fogão 4 Bocas</t>
  </si>
  <si>
    <t>Jogo de Panelas</t>
  </si>
  <si>
    <t>Fritadeira Elétrica sem Óleo</t>
  </si>
  <si>
    <t>Painel para TV</t>
  </si>
  <si>
    <t>Mesa de Jantar 4 Cadeiras</t>
  </si>
  <si>
    <t>Cama Box Casal</t>
  </si>
  <si>
    <t>Colchão Queen</t>
  </si>
  <si>
    <t>Lavadora de Roupas</t>
  </si>
  <si>
    <t>Micro-ondas</t>
  </si>
  <si>
    <t>Forno Elétrico</t>
  </si>
  <si>
    <t>Mouse sem Fio</t>
  </si>
  <si>
    <t>Impressora Multifuncional</t>
  </si>
  <si>
    <t>Notebook</t>
  </si>
  <si>
    <t>Sofá 3 Lugares</t>
  </si>
  <si>
    <t>Smart TV Full HD LED 43</t>
  </si>
  <si>
    <t>Ar Condicionado</t>
  </si>
  <si>
    <t>Smartphone 64GB</t>
  </si>
  <si>
    <t>Geladeira</t>
  </si>
  <si>
    <t>Ventilador</t>
  </si>
  <si>
    <t>Cadeira de Escritório</t>
  </si>
  <si>
    <t>Vendedor</t>
  </si>
  <si>
    <t>Ana</t>
  </si>
  <si>
    <t>Pedro</t>
  </si>
  <si>
    <t>João</t>
  </si>
  <si>
    <t>Allan</t>
  </si>
  <si>
    <t>Simone</t>
  </si>
  <si>
    <t>Arthur</t>
  </si>
  <si>
    <t>Jorge</t>
  </si>
  <si>
    <t>Cristiano</t>
  </si>
  <si>
    <t>Claudia</t>
  </si>
  <si>
    <t>Matheus</t>
  </si>
  <si>
    <t>Rose</t>
  </si>
  <si>
    <t>Beatriz</t>
  </si>
  <si>
    <t>Samanta</t>
  </si>
  <si>
    <t>Francielle</t>
  </si>
  <si>
    <t>Francisco</t>
  </si>
  <si>
    <t>Fernando</t>
  </si>
  <si>
    <t>Krissia</t>
  </si>
  <si>
    <t>Marcos</t>
  </si>
  <si>
    <t>Mafalda</t>
  </si>
  <si>
    <t>Andre</t>
  </si>
  <si>
    <t>Produto Vendido</t>
  </si>
  <si>
    <t>Ventilador 2</t>
  </si>
  <si>
    <t>Valor Venda</t>
  </si>
  <si>
    <t>Preço Produto</t>
  </si>
  <si>
    <t>Rótulos de Linha</t>
  </si>
  <si>
    <t>Total Geral</t>
  </si>
  <si>
    <t>M_ CONTÈM</t>
  </si>
  <si>
    <t>M_ Valor em Branco</t>
  </si>
  <si>
    <t>M_ Qtd Vendas</t>
  </si>
  <si>
    <t>M_ Valor em Branco com IF</t>
  </si>
  <si>
    <t>Em branco</t>
  </si>
  <si>
    <t>M_ Par ou Impar</t>
  </si>
  <si>
    <t>M_ Par ou Impar com IF</t>
  </si>
  <si>
    <t>Par</t>
  </si>
  <si>
    <t>Impar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</si>
</sst>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7">
    <dxf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4" formatCode="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levison Santos" refreshedDate="44687.93612395833" createdVersion="5" refreshedVersion="6" minRefreshableVersion="3" recordCount="0" supportSubquery="1" supportAdvancedDrill="1" xr:uid="{FF362304-D008-4E57-A474-EF1F673B473D}">
  <cacheSource type="external" connectionId="1"/>
  <cacheFields count="7">
    <cacheField name="[Tabela1].[Vendedor].[Vendedor]" caption="Vendedor" numFmtId="0" level="1">
      <sharedItems count="20">
        <s v="Allan"/>
        <s v="Ana"/>
        <s v="Andre"/>
        <s v="Arthur"/>
        <s v="Beatriz"/>
        <s v="Claudia"/>
        <s v="Cristiano"/>
        <s v="Fernando"/>
        <s v="Francielle"/>
        <s v="Francisco"/>
        <s v="João"/>
        <s v="Jorge"/>
        <s v="Krissia"/>
        <s v="Mafalda"/>
        <s v="Marcos"/>
        <s v="Matheus"/>
        <s v="Pedro"/>
        <s v="Rose"/>
        <s v="Samanta"/>
        <s v="Simone"/>
      </sharedItems>
      <extLst>
        <ext xmlns:x15="http://schemas.microsoft.com/office/spreadsheetml/2010/11/main" uri="{4F2E5C28-24EA-4eb8-9CBF-B6C8F9C3D259}">
          <x15:cachedUniqueNames>
            <x15:cachedUniqueName index="0" name="[Tabela1].[Vendedor].&amp;[Allan]"/>
            <x15:cachedUniqueName index="1" name="[Tabela1].[Vendedor].&amp;[Ana]"/>
            <x15:cachedUniqueName index="2" name="[Tabela1].[Vendedor].&amp;[Andre]"/>
            <x15:cachedUniqueName index="3" name="[Tabela1].[Vendedor].&amp;[Arthur]"/>
            <x15:cachedUniqueName index="4" name="[Tabela1].[Vendedor].&amp;[Beatriz]"/>
            <x15:cachedUniqueName index="5" name="[Tabela1].[Vendedor].&amp;[Claudia]"/>
            <x15:cachedUniqueName index="6" name="[Tabela1].[Vendedor].&amp;[Cristiano]"/>
            <x15:cachedUniqueName index="7" name="[Tabela1].[Vendedor].&amp;[Fernando]"/>
            <x15:cachedUniqueName index="8" name="[Tabela1].[Vendedor].&amp;[Francielle]"/>
            <x15:cachedUniqueName index="9" name="[Tabela1].[Vendedor].&amp;[Francisco]"/>
            <x15:cachedUniqueName index="10" name="[Tabela1].[Vendedor].&amp;[João]"/>
            <x15:cachedUniqueName index="11" name="[Tabela1].[Vendedor].&amp;[Jorge]"/>
            <x15:cachedUniqueName index="12" name="[Tabela1].[Vendedor].&amp;[Krissia]"/>
            <x15:cachedUniqueName index="13" name="[Tabela1].[Vendedor].&amp;[Mafalda]"/>
            <x15:cachedUniqueName index="14" name="[Tabela1].[Vendedor].&amp;[Marcos]"/>
            <x15:cachedUniqueName index="15" name="[Tabela1].[Vendedor].&amp;[Matheus]"/>
            <x15:cachedUniqueName index="16" name="[Tabela1].[Vendedor].&amp;[Pedro]"/>
            <x15:cachedUniqueName index="17" name="[Tabela1].[Vendedor].&amp;[Rose]"/>
            <x15:cachedUniqueName index="18" name="[Tabela1].[Vendedor].&amp;[Samanta]"/>
            <x15:cachedUniqueName index="19" name="[Tabela1].[Vendedor].&amp;[Simone]"/>
          </x15:cachedUniqueNames>
        </ext>
      </extLst>
    </cacheField>
    <cacheField name="[Measures].[M_ CONTÈM]" caption="M_ CONTÈM" numFmtId="0" hierarchy="5" level="32767"/>
    <cacheField name="[Measures].[M_ Valor em Branco]" caption="M_ Valor em Branco" numFmtId="0" hierarchy="6" level="32767"/>
    <cacheField name="[Measures].[M_ Qtd Vendas]" caption="M_ Qtd Vendas" numFmtId="0" hierarchy="7" level="32767"/>
    <cacheField name="[Measures].[M_ Valor em Branco com IF]" caption="M_ Valor em Branco com IF" numFmtId="0" hierarchy="8" level="32767"/>
    <cacheField name="[Measures].[M_ Par ou Impar]" caption="M_ Par ou Impar" numFmtId="0" hierarchy="9" level="32767"/>
    <cacheField name="[Measures].[M_ Par ou Impar com IF]" caption="M_ Par ou Impar com IF" numFmtId="0" hierarchy="10" level="32767"/>
  </cacheFields>
  <cacheHierarchies count="13">
    <cacheHierarchy uniqueName="[Tabela1].[Vendedor]" caption="Vendedor" attribute="1" defaultMemberUniqueName="[Tabela1].[Vendedor].[All]" allUniqueName="[Tabela1].[Vendedor].[All]" dimensionUniqueName="[Tabela1]" displayFolder="" count="2" memberValueDatatype="130" unbalanced="0">
      <fieldsUsage count="2">
        <fieldUsage x="-1"/>
        <fieldUsage x="0"/>
      </fieldsUsage>
    </cacheHierarchy>
    <cacheHierarchy uniqueName="[Tabela1].[Produto Vendido]" caption="Produto Vendido" attribute="1" defaultMemberUniqueName="[Tabela1].[Produto Vendido].[All]" allUniqueName="[Tabela1].[Produto Vendido].[All]" dimensionUniqueName="[Tabela1]" displayFolder="" count="0" memberValueDatatype="130" unbalanced="0"/>
    <cacheHierarchy uniqueName="[Tabela1].[Qtd Vendidas]" caption="Qtd Vendidas" attribute="1" defaultMemberUniqueName="[Tabela1].[Qtd Vendidas].[All]" allUniqueName="[Tabela1].[Qtd Vendidas].[All]" dimensionUniqueName="[Tabela1]" displayFolder="" count="0" memberValueDatatype="20" unbalanced="0"/>
    <cacheHierarchy uniqueName="[Tabela1].[Preço Produto]" caption="Preço Produto" attribute="1" defaultMemberUniqueName="[Tabela1].[Preço Produto].[All]" allUniqueName="[Tabela1].[Preço Produto].[All]" dimensionUniqueName="[Tabela1]" displayFolder="" count="0" memberValueDatatype="6" unbalanced="0"/>
    <cacheHierarchy uniqueName="[Tabela1].[Valor Venda]" caption="Valor Venda" attribute="1" defaultMemberUniqueName="[Tabela1].[Valor Venda].[All]" allUniqueName="[Tabela1].[Valor Venda].[All]" dimensionUniqueName="[Tabela1]" displayFolder="" count="0" memberValueDatatype="5" unbalanced="0"/>
    <cacheHierarchy uniqueName="[Measures].[M_ CONTÈM]" caption="M_ CONTÈM" measure="1" displayFolder="" measureGroup="Tabela1" count="0" oneField="1">
      <fieldsUsage count="1">
        <fieldUsage x="1"/>
      </fieldsUsage>
    </cacheHierarchy>
    <cacheHierarchy uniqueName="[Measures].[M_ Valor em Branco]" caption="M_ Valor em Branco" measure="1" displayFolder="" measureGroup="Tabela1" count="0" oneField="1">
      <fieldsUsage count="1">
        <fieldUsage x="2"/>
      </fieldsUsage>
    </cacheHierarchy>
    <cacheHierarchy uniqueName="[Measures].[M_ Qtd Vendas]" caption="M_ Qtd Vendas" measure="1" displayFolder="" measureGroup="Tabela1" count="0" oneField="1">
      <fieldsUsage count="1">
        <fieldUsage x="3"/>
      </fieldsUsage>
    </cacheHierarchy>
    <cacheHierarchy uniqueName="[Measures].[M_ Valor em Branco com IF]" caption="M_ Valor em Branco com IF" measure="1" displayFolder="" measureGroup="Tabela1" count="0" oneField="1">
      <fieldsUsage count="1">
        <fieldUsage x="4"/>
      </fieldsUsage>
    </cacheHierarchy>
    <cacheHierarchy uniqueName="[Measures].[M_ Par ou Impar]" caption="M_ Par ou Impar" measure="1" displayFolder="" measureGroup="Tabela1" count="0" oneField="1">
      <fieldsUsage count="1">
        <fieldUsage x="5"/>
      </fieldsUsage>
    </cacheHierarchy>
    <cacheHierarchy uniqueName="[Measures].[M_ Par ou Impar com IF]" caption="M_ Par ou Impar com IF" measure="1" displayFolder="" measureGroup="Tabela1" count="0" oneField="1">
      <fieldsUsage count="1">
        <fieldUsage x="6"/>
      </fieldsUsage>
    </cacheHierarchy>
    <cacheHierarchy uniqueName="[Measures].[__XL_Count Tabela1]" caption="__XL_Count Tabela1" measure="1" displayFolder="" measureGroup="Tabela1" count="0" hidden="1"/>
    <cacheHierarchy uniqueName="[Measures].[__Não há medidas definidas]" caption="__Não há medidas definidas" measure="1" displayFolder="" count="0" hidden="1"/>
  </cacheHierarchies>
  <kpis count="0"/>
  <dimensions count="2">
    <dimension measure="1" name="Measures" uniqueName="[Measures]" caption="Measures"/>
    <dimension name="Tabela1" uniqueName="[Tabela1]" caption="Tabela1"/>
  </dimensions>
  <measureGroups count="1">
    <measureGroup name="Tabela1" caption="Tabe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FA87CE-FECE-4A91-A950-7C6E550E77B4}" name="Tabela dinâmica1" cacheId="56" applyNumberFormats="0" applyBorderFormats="0" applyFontFormats="0" applyPatternFormats="0" applyAlignmentFormats="0" applyWidthHeightFormats="1" dataCaption="Valores" tag="17736d91-eb22-41c6-83a9-c5280eb23ee4" updatedVersion="6" minRefreshableVersion="3" useAutoFormatting="1" itemPrintTitles="1" createdVersion="5" indent="0" outline="1" outlineData="1" multipleFieldFilters="0">
  <location ref="B3:H24" firstHeaderRow="0" firstDataRow="1" firstDataCol="1"/>
  <pivotFields count="7"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fld="3" subtotal="count" baseField="0" baseItem="0"/>
    <dataField fld="1" subtotal="count" baseField="0" baseItem="0"/>
    <dataField fld="2" subtotal="count" baseField="0" baseItem="0"/>
    <dataField fld="4" subtotal="count" baseField="0" baseItem="0"/>
    <dataField fld="5" subtotal="count" baseField="0" baseItem="0"/>
    <dataField fld="6" subtotal="count" baseField="0" baseItem="0"/>
  </dataFields>
  <pivotHierarchies count="13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e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F5DA1B-FC38-4C04-8407-DFBD2E0B27B0}" name="Tabela1" displayName="Tabela1" ref="A1:E22" totalsRowShown="0" headerRowDxfId="0" headerRowBorderDxfId="5" tableBorderDxfId="6">
  <autoFilter ref="A1:E22" xr:uid="{96D4D924-5805-498B-9696-30335DC7178D}"/>
  <tableColumns count="5">
    <tableColumn id="1" xr3:uid="{09FC1BC2-4C88-4F6C-AED0-7507C38D1D2E}" name="Vendedor" dataDxfId="4"/>
    <tableColumn id="2" xr3:uid="{11FE45E1-5560-4779-88DD-F76062686FB0}" name="Produto Vendido"/>
    <tableColumn id="3" xr3:uid="{D35EA01F-5C65-4913-8AF4-9DD4CFF1C2E8}" name="Qtd Vendidas" dataDxfId="3"/>
    <tableColumn id="4" xr3:uid="{CB81B1E1-9D20-42D0-8FD4-B4AA232AA498}" name="Preço Produto" dataDxfId="2"/>
    <tableColumn id="5" xr3:uid="{138E3FCC-5001-4F00-8032-EBC12021703C}" name="Valor Vend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40B3B-21FF-4915-85CF-E4BFB5408D19}">
  <dimension ref="B3:H24"/>
  <sheetViews>
    <sheetView tabSelected="1" workbookViewId="0">
      <selection activeCell="H18" sqref="H18"/>
    </sheetView>
  </sheetViews>
  <sheetFormatPr defaultRowHeight="14.4" x14ac:dyDescent="0.3"/>
  <cols>
    <col min="2" max="2" width="17.21875" bestFit="1" customWidth="1"/>
    <col min="3" max="3" width="14.109375" bestFit="1" customWidth="1"/>
    <col min="4" max="4" width="12" bestFit="1" customWidth="1"/>
    <col min="5" max="5" width="18.33203125" bestFit="1" customWidth="1"/>
    <col min="6" max="6" width="24.44140625" bestFit="1" customWidth="1"/>
    <col min="7" max="7" width="15.21875" bestFit="1" customWidth="1"/>
    <col min="8" max="8" width="21.44140625" bestFit="1" customWidth="1"/>
  </cols>
  <sheetData>
    <row r="3" spans="2:8" x14ac:dyDescent="0.3">
      <c r="B3" s="7" t="s">
        <v>46</v>
      </c>
      <c r="C3" t="s">
        <v>50</v>
      </c>
      <c r="D3" t="s">
        <v>48</v>
      </c>
      <c r="E3" t="s">
        <v>49</v>
      </c>
      <c r="F3" t="s">
        <v>51</v>
      </c>
      <c r="G3" t="s">
        <v>53</v>
      </c>
      <c r="H3" t="s">
        <v>54</v>
      </c>
    </row>
    <row r="4" spans="2:8" x14ac:dyDescent="0.3">
      <c r="B4" s="4" t="s">
        <v>25</v>
      </c>
      <c r="C4" s="8">
        <v>700</v>
      </c>
      <c r="D4" s="8" t="b">
        <v>0</v>
      </c>
      <c r="E4" s="8" t="b">
        <v>0</v>
      </c>
      <c r="F4" s="8"/>
      <c r="G4" s="8" t="b">
        <v>1</v>
      </c>
      <c r="H4" s="8" t="s">
        <v>55</v>
      </c>
    </row>
    <row r="5" spans="2:8" x14ac:dyDescent="0.3">
      <c r="B5" s="4" t="s">
        <v>22</v>
      </c>
      <c r="C5" s="8">
        <v>280</v>
      </c>
      <c r="D5" s="8" t="b">
        <v>0</v>
      </c>
      <c r="E5" s="8" t="b">
        <v>0</v>
      </c>
      <c r="F5" s="8"/>
      <c r="G5" s="8" t="b">
        <v>1</v>
      </c>
      <c r="H5" s="8" t="s">
        <v>55</v>
      </c>
    </row>
    <row r="6" spans="2:8" x14ac:dyDescent="0.3">
      <c r="B6" s="4" t="s">
        <v>41</v>
      </c>
      <c r="C6" s="8">
        <v>520</v>
      </c>
      <c r="D6" s="8" t="b">
        <v>0</v>
      </c>
      <c r="E6" s="8" t="b">
        <v>0</v>
      </c>
      <c r="F6" s="8"/>
      <c r="G6" s="8" t="b">
        <v>1</v>
      </c>
      <c r="H6" s="8" t="s">
        <v>55</v>
      </c>
    </row>
    <row r="7" spans="2:8" x14ac:dyDescent="0.3">
      <c r="B7" s="4" t="s">
        <v>27</v>
      </c>
      <c r="C7" s="8">
        <v>50</v>
      </c>
      <c r="D7" s="8" t="b">
        <v>0</v>
      </c>
      <c r="E7" s="8" t="b">
        <v>0</v>
      </c>
      <c r="F7" s="8"/>
      <c r="G7" s="8" t="b">
        <v>1</v>
      </c>
      <c r="H7" s="8" t="s">
        <v>55</v>
      </c>
    </row>
    <row r="8" spans="2:8" x14ac:dyDescent="0.3">
      <c r="B8" s="4" t="s">
        <v>33</v>
      </c>
      <c r="C8" s="8">
        <v>302</v>
      </c>
      <c r="D8" s="8" t="b">
        <v>0</v>
      </c>
      <c r="E8" s="8" t="b">
        <v>0</v>
      </c>
      <c r="F8" s="8"/>
      <c r="G8" s="8" t="b">
        <v>1</v>
      </c>
      <c r="H8" s="8" t="s">
        <v>55</v>
      </c>
    </row>
    <row r="9" spans="2:8" x14ac:dyDescent="0.3">
      <c r="B9" s="4" t="s">
        <v>30</v>
      </c>
      <c r="C9" s="8">
        <v>150</v>
      </c>
      <c r="D9" s="8" t="b">
        <v>1</v>
      </c>
      <c r="E9" s="8" t="b">
        <v>0</v>
      </c>
      <c r="F9" s="8"/>
      <c r="G9" s="8" t="b">
        <v>1</v>
      </c>
      <c r="H9" s="8" t="s">
        <v>55</v>
      </c>
    </row>
    <row r="10" spans="2:8" x14ac:dyDescent="0.3">
      <c r="B10" s="4" t="s">
        <v>29</v>
      </c>
      <c r="C10" s="8">
        <v>90</v>
      </c>
      <c r="D10" s="8" t="b">
        <v>0</v>
      </c>
      <c r="E10" s="8" t="b">
        <v>0</v>
      </c>
      <c r="F10" s="8"/>
      <c r="G10" s="8" t="b">
        <v>1</v>
      </c>
      <c r="H10" s="8" t="s">
        <v>55</v>
      </c>
    </row>
    <row r="11" spans="2:8" x14ac:dyDescent="0.3">
      <c r="B11" s="4" t="s">
        <v>37</v>
      </c>
      <c r="C11" s="8">
        <v>240</v>
      </c>
      <c r="D11" s="8" t="b">
        <v>0</v>
      </c>
      <c r="E11" s="8" t="b">
        <v>0</v>
      </c>
      <c r="F11" s="8"/>
      <c r="G11" s="8" t="b">
        <v>1</v>
      </c>
      <c r="H11" s="8" t="s">
        <v>55</v>
      </c>
    </row>
    <row r="12" spans="2:8" x14ac:dyDescent="0.3">
      <c r="B12" s="4" t="s">
        <v>35</v>
      </c>
      <c r="C12" s="8">
        <v>55</v>
      </c>
      <c r="D12" s="8" t="b">
        <v>0</v>
      </c>
      <c r="E12" s="8" t="b">
        <v>0</v>
      </c>
      <c r="F12" s="8"/>
      <c r="G12" s="8" t="b">
        <v>0</v>
      </c>
      <c r="H12" s="8" t="s">
        <v>56</v>
      </c>
    </row>
    <row r="13" spans="2:8" x14ac:dyDescent="0.3">
      <c r="B13" s="4" t="s">
        <v>36</v>
      </c>
      <c r="C13" s="8">
        <v>52</v>
      </c>
      <c r="D13" s="8" t="b">
        <v>0</v>
      </c>
      <c r="E13" s="8" t="b">
        <v>0</v>
      </c>
      <c r="F13" s="8"/>
      <c r="G13" s="8" t="b">
        <v>1</v>
      </c>
      <c r="H13" s="8" t="s">
        <v>55</v>
      </c>
    </row>
    <row r="14" spans="2:8" x14ac:dyDescent="0.3">
      <c r="B14" s="4" t="s">
        <v>24</v>
      </c>
      <c r="C14" s="8">
        <v>320</v>
      </c>
      <c r="D14" s="8" t="b">
        <v>0</v>
      </c>
      <c r="E14" s="8" t="b">
        <v>0</v>
      </c>
      <c r="F14" s="8"/>
      <c r="G14" s="8" t="b">
        <v>1</v>
      </c>
      <c r="H14" s="8" t="s">
        <v>55</v>
      </c>
    </row>
    <row r="15" spans="2:8" x14ac:dyDescent="0.3">
      <c r="B15" s="4" t="s">
        <v>28</v>
      </c>
      <c r="C15" s="8">
        <v>210</v>
      </c>
      <c r="D15" s="8" t="b">
        <v>0</v>
      </c>
      <c r="E15" s="8" t="b">
        <v>0</v>
      </c>
      <c r="F15" s="8"/>
      <c r="G15" s="8" t="b">
        <v>1</v>
      </c>
      <c r="H15" s="8" t="s">
        <v>55</v>
      </c>
    </row>
    <row r="16" spans="2:8" x14ac:dyDescent="0.3">
      <c r="B16" s="4" t="s">
        <v>38</v>
      </c>
      <c r="C16" s="8">
        <v>45</v>
      </c>
      <c r="D16" s="8" t="b">
        <v>0</v>
      </c>
      <c r="E16" s="8" t="b">
        <v>0</v>
      </c>
      <c r="F16" s="8"/>
      <c r="G16" s="8" t="b">
        <v>0</v>
      </c>
      <c r="H16" s="8" t="s">
        <v>56</v>
      </c>
    </row>
    <row r="17" spans="2:8" x14ac:dyDescent="0.3">
      <c r="B17" s="4" t="s">
        <v>40</v>
      </c>
      <c r="C17" s="8">
        <v>1780</v>
      </c>
      <c r="D17" s="8" t="b">
        <v>0</v>
      </c>
      <c r="E17" s="8" t="b">
        <v>0</v>
      </c>
      <c r="F17" s="8"/>
      <c r="G17" s="8" t="b">
        <v>1</v>
      </c>
      <c r="H17" s="8" t="s">
        <v>55</v>
      </c>
    </row>
    <row r="18" spans="2:8" x14ac:dyDescent="0.3">
      <c r="B18" s="4" t="s">
        <v>39</v>
      </c>
      <c r="C18" s="8">
        <v>23</v>
      </c>
      <c r="D18" s="8" t="b">
        <v>0</v>
      </c>
      <c r="E18" s="8" t="b">
        <v>0</v>
      </c>
      <c r="F18" s="8"/>
      <c r="G18" s="8" t="b">
        <v>0</v>
      </c>
      <c r="H18" s="8" t="s">
        <v>56</v>
      </c>
    </row>
    <row r="19" spans="2:8" x14ac:dyDescent="0.3">
      <c r="B19" s="4" t="s">
        <v>31</v>
      </c>
      <c r="C19" s="8">
        <v>180</v>
      </c>
      <c r="D19" s="8" t="b">
        <v>0</v>
      </c>
      <c r="E19" s="8" t="b">
        <v>0</v>
      </c>
      <c r="F19" s="8"/>
      <c r="G19" s="8" t="b">
        <v>1</v>
      </c>
      <c r="H19" s="8" t="s">
        <v>55</v>
      </c>
    </row>
    <row r="20" spans="2:8" x14ac:dyDescent="0.3">
      <c r="B20" s="4" t="s">
        <v>23</v>
      </c>
      <c r="C20" s="8"/>
      <c r="D20" s="8" t="b">
        <v>0</v>
      </c>
      <c r="E20" s="8" t="b">
        <v>1</v>
      </c>
      <c r="F20" s="8" t="s">
        <v>52</v>
      </c>
      <c r="G20" s="8" t="b">
        <v>1</v>
      </c>
      <c r="H20" s="8" t="s">
        <v>55</v>
      </c>
    </row>
    <row r="21" spans="2:8" x14ac:dyDescent="0.3">
      <c r="B21" s="4" t="s">
        <v>32</v>
      </c>
      <c r="C21" s="8">
        <v>180</v>
      </c>
      <c r="D21" s="8" t="b">
        <v>0</v>
      </c>
      <c r="E21" s="8" t="b">
        <v>0</v>
      </c>
      <c r="F21" s="8"/>
      <c r="G21" s="8" t="b">
        <v>1</v>
      </c>
      <c r="H21" s="8" t="s">
        <v>55</v>
      </c>
    </row>
    <row r="22" spans="2:8" x14ac:dyDescent="0.3">
      <c r="B22" s="4" t="s">
        <v>34</v>
      </c>
      <c r="C22" s="8">
        <v>12</v>
      </c>
      <c r="D22" s="8" t="b">
        <v>0</v>
      </c>
      <c r="E22" s="8" t="b">
        <v>0</v>
      </c>
      <c r="F22" s="8"/>
      <c r="G22" s="8" t="b">
        <v>1</v>
      </c>
      <c r="H22" s="8" t="s">
        <v>55</v>
      </c>
    </row>
    <row r="23" spans="2:8" x14ac:dyDescent="0.3">
      <c r="B23" s="4" t="s">
        <v>26</v>
      </c>
      <c r="C23" s="8">
        <v>120</v>
      </c>
      <c r="D23" s="8" t="b">
        <v>0</v>
      </c>
      <c r="E23" s="8" t="b">
        <v>0</v>
      </c>
      <c r="F23" s="8"/>
      <c r="G23" s="8" t="b">
        <v>1</v>
      </c>
      <c r="H23" s="8" t="s">
        <v>55</v>
      </c>
    </row>
    <row r="24" spans="2:8" x14ac:dyDescent="0.3">
      <c r="B24" s="4" t="s">
        <v>47</v>
      </c>
      <c r="C24" s="8">
        <v>5309</v>
      </c>
      <c r="D24" s="8" t="b">
        <v>1</v>
      </c>
      <c r="E24" s="8" t="b">
        <v>0</v>
      </c>
      <c r="F24" s="8"/>
      <c r="G24" s="8" t="b">
        <v>0</v>
      </c>
      <c r="H24" s="8" t="s">
        <v>56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F38E3-D0D0-4F9B-820F-146230C7F310}">
  <dimension ref="A1:E22"/>
  <sheetViews>
    <sheetView workbookViewId="0">
      <selection sqref="A1:E22"/>
    </sheetView>
  </sheetViews>
  <sheetFormatPr defaultRowHeight="14.4" x14ac:dyDescent="0.3"/>
  <cols>
    <col min="1" max="1" width="17.33203125" style="4" customWidth="1"/>
    <col min="2" max="2" width="29" customWidth="1"/>
    <col min="3" max="3" width="17.21875" style="1" customWidth="1"/>
    <col min="4" max="4" width="18.21875" style="1" customWidth="1"/>
    <col min="5" max="5" width="15.33203125" style="1" customWidth="1"/>
  </cols>
  <sheetData>
    <row r="1" spans="1:5" x14ac:dyDescent="0.3">
      <c r="A1" s="5" t="s">
        <v>21</v>
      </c>
      <c r="B1" s="6" t="s">
        <v>42</v>
      </c>
      <c r="C1" s="6" t="s">
        <v>0</v>
      </c>
      <c r="D1" s="6" t="s">
        <v>45</v>
      </c>
      <c r="E1" s="6" t="s">
        <v>44</v>
      </c>
    </row>
    <row r="2" spans="1:5" x14ac:dyDescent="0.3">
      <c r="A2" s="4" t="s">
        <v>39</v>
      </c>
      <c r="B2" t="s">
        <v>16</v>
      </c>
      <c r="C2" s="1">
        <v>23</v>
      </c>
      <c r="D2" s="2">
        <v>1294.2</v>
      </c>
      <c r="E2" s="2">
        <v>29766.600000000002</v>
      </c>
    </row>
    <row r="3" spans="1:5" x14ac:dyDescent="0.3">
      <c r="A3" s="4" t="s">
        <v>41</v>
      </c>
      <c r="B3" t="s">
        <v>20</v>
      </c>
      <c r="C3" s="1">
        <v>520</v>
      </c>
      <c r="D3" s="1">
        <v>269</v>
      </c>
      <c r="E3" s="2">
        <v>139880</v>
      </c>
    </row>
    <row r="4" spans="1:5" x14ac:dyDescent="0.3">
      <c r="A4" s="4" t="s">
        <v>29</v>
      </c>
      <c r="B4" t="s">
        <v>6</v>
      </c>
      <c r="C4" s="1">
        <v>90</v>
      </c>
      <c r="D4" s="1">
        <v>569.99</v>
      </c>
      <c r="E4" s="2">
        <v>51299.1</v>
      </c>
    </row>
    <row r="5" spans="1:5" x14ac:dyDescent="0.3">
      <c r="A5" s="4" t="s">
        <v>30</v>
      </c>
      <c r="B5" t="s">
        <v>7</v>
      </c>
      <c r="C5" s="1">
        <v>150</v>
      </c>
      <c r="D5" s="1">
        <v>849.56</v>
      </c>
      <c r="E5" s="2">
        <v>127433.99999999999</v>
      </c>
    </row>
    <row r="6" spans="1:5" x14ac:dyDescent="0.3">
      <c r="A6" s="4" t="s">
        <v>24</v>
      </c>
      <c r="B6" t="s">
        <v>1</v>
      </c>
      <c r="C6" s="1">
        <v>320</v>
      </c>
      <c r="D6" s="1">
        <v>949.05</v>
      </c>
      <c r="E6" s="2">
        <v>303696</v>
      </c>
    </row>
    <row r="7" spans="1:5" x14ac:dyDescent="0.3">
      <c r="A7" s="4" t="s">
        <v>33</v>
      </c>
      <c r="B7" t="s">
        <v>10</v>
      </c>
      <c r="C7" s="1">
        <v>302</v>
      </c>
      <c r="D7" s="1">
        <v>319.89999999999998</v>
      </c>
      <c r="E7" s="2">
        <v>96609.799999999988</v>
      </c>
    </row>
    <row r="8" spans="1:5" x14ac:dyDescent="0.3">
      <c r="A8" s="4" t="s">
        <v>26</v>
      </c>
      <c r="B8" t="s">
        <v>3</v>
      </c>
      <c r="C8" s="1">
        <v>120</v>
      </c>
      <c r="D8" s="1">
        <v>249</v>
      </c>
      <c r="E8" s="2">
        <v>29880</v>
      </c>
    </row>
    <row r="9" spans="1:5" x14ac:dyDescent="0.3">
      <c r="A9" s="4" t="s">
        <v>23</v>
      </c>
      <c r="B9" t="s">
        <v>18</v>
      </c>
      <c r="D9" s="2"/>
      <c r="E9" s="2"/>
    </row>
    <row r="10" spans="1:5" x14ac:dyDescent="0.3">
      <c r="A10" s="4" t="s">
        <v>36</v>
      </c>
      <c r="B10" t="s">
        <v>12</v>
      </c>
      <c r="C10" s="1">
        <v>52</v>
      </c>
      <c r="D10" s="2">
        <v>1899.05</v>
      </c>
      <c r="E10" s="2">
        <v>98750.599999999991</v>
      </c>
    </row>
    <row r="11" spans="1:5" x14ac:dyDescent="0.3">
      <c r="A11" s="4" t="s">
        <v>25</v>
      </c>
      <c r="B11" t="s">
        <v>2</v>
      </c>
      <c r="C11" s="1">
        <v>700</v>
      </c>
      <c r="D11" s="1">
        <v>279.89999999999998</v>
      </c>
      <c r="E11" s="2">
        <v>195929.99999999997</v>
      </c>
    </row>
    <row r="12" spans="1:5" x14ac:dyDescent="0.3">
      <c r="A12" s="4" t="s">
        <v>31</v>
      </c>
      <c r="B12" t="s">
        <v>8</v>
      </c>
      <c r="C12" s="1">
        <v>180</v>
      </c>
      <c r="D12" s="3">
        <v>1599</v>
      </c>
      <c r="E12" s="2">
        <v>287820</v>
      </c>
    </row>
    <row r="13" spans="1:5" x14ac:dyDescent="0.3">
      <c r="A13" s="4" t="s">
        <v>28</v>
      </c>
      <c r="B13" t="s">
        <v>5</v>
      </c>
      <c r="C13" s="1">
        <v>210</v>
      </c>
      <c r="D13" s="1">
        <v>427.49</v>
      </c>
      <c r="E13" s="2">
        <v>89772.900000000009</v>
      </c>
    </row>
    <row r="14" spans="1:5" x14ac:dyDescent="0.3">
      <c r="A14" s="4" t="s">
        <v>32</v>
      </c>
      <c r="B14" t="s">
        <v>9</v>
      </c>
      <c r="C14" s="1">
        <v>180</v>
      </c>
      <c r="D14" s="1">
        <v>429</v>
      </c>
      <c r="E14" s="2">
        <v>77220</v>
      </c>
    </row>
    <row r="15" spans="1:5" x14ac:dyDescent="0.3">
      <c r="A15" s="4" t="s">
        <v>35</v>
      </c>
      <c r="B15" t="s">
        <v>11</v>
      </c>
      <c r="C15" s="1">
        <v>55</v>
      </c>
      <c r="D15" s="1">
        <v>59.9</v>
      </c>
      <c r="E15" s="2">
        <v>3294.5</v>
      </c>
    </row>
    <row r="16" spans="1:5" x14ac:dyDescent="0.3">
      <c r="A16" s="4" t="s">
        <v>34</v>
      </c>
      <c r="B16" t="s">
        <v>13</v>
      </c>
      <c r="C16" s="1">
        <v>12</v>
      </c>
      <c r="D16" s="2">
        <v>3799.05</v>
      </c>
      <c r="E16" s="2">
        <v>45588.600000000006</v>
      </c>
    </row>
    <row r="17" spans="1:5" x14ac:dyDescent="0.3">
      <c r="A17" s="4" t="s">
        <v>27</v>
      </c>
      <c r="B17" t="s">
        <v>4</v>
      </c>
      <c r="C17" s="1">
        <v>50</v>
      </c>
      <c r="D17" s="1">
        <v>419.99</v>
      </c>
      <c r="E17" s="2">
        <v>20999.5</v>
      </c>
    </row>
    <row r="18" spans="1:5" x14ac:dyDescent="0.3">
      <c r="A18" s="4" t="s">
        <v>38</v>
      </c>
      <c r="B18" t="s">
        <v>15</v>
      </c>
      <c r="C18" s="1">
        <v>45</v>
      </c>
      <c r="D18" s="2">
        <v>1894</v>
      </c>
      <c r="E18" s="2">
        <v>85230</v>
      </c>
    </row>
    <row r="19" spans="1:5" x14ac:dyDescent="0.3">
      <c r="A19" s="4" t="s">
        <v>22</v>
      </c>
      <c r="B19" t="s">
        <v>17</v>
      </c>
      <c r="C19" s="1">
        <v>280</v>
      </c>
      <c r="D19" s="2">
        <v>1169.0999999999999</v>
      </c>
      <c r="E19" s="2">
        <v>327348</v>
      </c>
    </row>
    <row r="20" spans="1:5" x14ac:dyDescent="0.3">
      <c r="A20" s="4" t="s">
        <v>37</v>
      </c>
      <c r="B20" t="s">
        <v>14</v>
      </c>
      <c r="C20" s="1">
        <v>240</v>
      </c>
      <c r="D20" s="1">
        <v>949.99</v>
      </c>
      <c r="E20" s="2">
        <v>227997.6</v>
      </c>
    </row>
    <row r="21" spans="1:5" x14ac:dyDescent="0.3">
      <c r="A21" s="4" t="s">
        <v>40</v>
      </c>
      <c r="B21" t="s">
        <v>19</v>
      </c>
      <c r="C21" s="1">
        <v>890</v>
      </c>
      <c r="D21" s="1">
        <v>136.9</v>
      </c>
      <c r="E21" s="2">
        <v>121841</v>
      </c>
    </row>
    <row r="22" spans="1:5" x14ac:dyDescent="0.3">
      <c r="A22" s="4" t="s">
        <v>40</v>
      </c>
      <c r="B22" t="s">
        <v>43</v>
      </c>
      <c r="C22" s="1">
        <v>890</v>
      </c>
      <c r="D22" s="1">
        <v>136.9</v>
      </c>
      <c r="E22" s="2">
        <v>121841</v>
      </c>
    </row>
  </sheetData>
  <phoneticPr fontId="1" type="noConversion"/>
  <pageMargins left="0.7" right="0.7" top="0.75" bottom="0.75" header="0.3" footer="0.3"/>
  <pageSetup paperSize="9" orientation="portrait" horizontalDpi="300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0637FAFD-B5EF-45DB-ABAD-5B6424053D1F}">
  <ds:schemaRefs/>
</ds:datastoreItem>
</file>

<file path=customXml/itemProps2.xml><?xml version="1.0" encoding="utf-8"?>
<ds:datastoreItem xmlns:ds="http://schemas.openxmlformats.org/officeDocument/2006/customXml" ds:itemID="{74CAB9CF-11B5-4BA0-8980-D1BD42FF6192}">
  <ds:schemaRefs/>
</ds:datastoreItem>
</file>

<file path=customXml/itemProps3.xml><?xml version="1.0" encoding="utf-8"?>
<ds:datastoreItem xmlns:ds="http://schemas.openxmlformats.org/officeDocument/2006/customXml" ds:itemID="{E82005BC-7E70-4317-A59E-AEDD7C34A522}">
  <ds:schemaRefs/>
</ds:datastoreItem>
</file>

<file path=customXml/itemProps4.xml><?xml version="1.0" encoding="utf-8"?>
<ds:datastoreItem xmlns:ds="http://schemas.openxmlformats.org/officeDocument/2006/customXml" ds:itemID="{FE666755-0997-4D3C-9016-CDCA3277F97F}">
  <ds:schemaRefs/>
</ds:datastoreItem>
</file>

<file path=customXml/itemProps5.xml><?xml version="1.0" encoding="utf-8"?>
<ds:datastoreItem xmlns:ds="http://schemas.openxmlformats.org/officeDocument/2006/customXml" ds:itemID="{34BF39E3-1B3C-4AFB-866D-4E484CD86D30}">
  <ds:schemaRefs/>
</ds:datastoreItem>
</file>

<file path=customXml/itemProps6.xml><?xml version="1.0" encoding="utf-8"?>
<ds:datastoreItem xmlns:ds="http://schemas.openxmlformats.org/officeDocument/2006/customXml" ds:itemID="{4DEA0D21-D7ED-4BBD-9C2A-333702ACE9F0}">
  <ds:schemaRefs/>
</ds:datastoreItem>
</file>

<file path=customXml/itemProps7.xml><?xml version="1.0" encoding="utf-8"?>
<ds:datastoreItem xmlns:ds="http://schemas.openxmlformats.org/officeDocument/2006/customXml" ds:itemID="{A00AA6A3-BD27-4F69-B20D-EBF21BD3D29C}">
  <ds:schemaRefs/>
</ds:datastoreItem>
</file>

<file path=customXml/itemProps8.xml><?xml version="1.0" encoding="utf-8"?>
<ds:datastoreItem xmlns:ds="http://schemas.openxmlformats.org/officeDocument/2006/customXml" ds:itemID="{524094A6-BAB1-4E8A-8070-4C52E239442B}">
  <ds:schemaRefs/>
</ds:datastoreItem>
</file>

<file path=customXml/itemProps9.xml><?xml version="1.0" encoding="utf-8"?>
<ds:datastoreItem xmlns:ds="http://schemas.openxmlformats.org/officeDocument/2006/customXml" ds:itemID="{B44C6347-DADB-4423-8E2B-9F28EBBD8776}">
  <ds:schemaRefs/>
</ds:datastoreItem>
</file>

<file path=customXml/itemProps10.xml><?xml version="1.0" encoding="utf-8"?>
<ds:datastoreItem xmlns:ds="http://schemas.openxmlformats.org/officeDocument/2006/customXml" ds:itemID="{A94D636F-8EC8-49BA-B9AE-F08D4ACE0D2C}">
  <ds:schemaRefs/>
</ds:datastoreItem>
</file>

<file path=customXml/itemProps11.xml><?xml version="1.0" encoding="utf-8"?>
<ds:datastoreItem xmlns:ds="http://schemas.openxmlformats.org/officeDocument/2006/customXml" ds:itemID="{43DB99CF-70C5-48FA-8081-1C628B5525B5}">
  <ds:schemaRefs/>
</ds:datastoreItem>
</file>

<file path=customXml/itemProps12.xml><?xml version="1.0" encoding="utf-8"?>
<ds:datastoreItem xmlns:ds="http://schemas.openxmlformats.org/officeDocument/2006/customXml" ds:itemID="{17E13544-0FFC-41B3-A9EE-1C23C576A971}">
  <ds:schemaRefs/>
</ds:datastoreItem>
</file>

<file path=customXml/itemProps13.xml><?xml version="1.0" encoding="utf-8"?>
<ds:datastoreItem xmlns:ds="http://schemas.openxmlformats.org/officeDocument/2006/customXml" ds:itemID="{983FAC73-A860-4DCD-B8D5-C0F6E343FF03}">
  <ds:schemaRefs/>
</ds:datastoreItem>
</file>

<file path=customXml/itemProps14.xml><?xml version="1.0" encoding="utf-8"?>
<ds:datastoreItem xmlns:ds="http://schemas.openxmlformats.org/officeDocument/2006/customXml" ds:itemID="{D08E8D6D-56C8-4692-A26F-A5617A09650A}">
  <ds:schemaRefs/>
</ds:datastoreItem>
</file>

<file path=customXml/itemProps15.xml><?xml version="1.0" encoding="utf-8"?>
<ds:datastoreItem xmlns:ds="http://schemas.openxmlformats.org/officeDocument/2006/customXml" ds:itemID="{4066B90B-2707-467E-B663-E75A2764EF9A}">
  <ds:schemaRefs/>
</ds:datastoreItem>
</file>

<file path=customXml/itemProps16.xml><?xml version="1.0" encoding="utf-8"?>
<ds:datastoreItem xmlns:ds="http://schemas.openxmlformats.org/officeDocument/2006/customXml" ds:itemID="{1079D685-B6F0-421C-8D32-0437EF94A1E3}">
  <ds:schemaRefs/>
</ds:datastoreItem>
</file>

<file path=customXml/itemProps17.xml><?xml version="1.0" encoding="utf-8"?>
<ds:datastoreItem xmlns:ds="http://schemas.openxmlformats.org/officeDocument/2006/customXml" ds:itemID="{E11F1CB8-B0ED-41BA-BBC3-9D5D4E4176E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Clevison Santos</cp:lastModifiedBy>
  <dcterms:created xsi:type="dcterms:W3CDTF">2021-03-09T15:36:28Z</dcterms:created>
  <dcterms:modified xsi:type="dcterms:W3CDTF">2022-05-07T01:29:08Z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
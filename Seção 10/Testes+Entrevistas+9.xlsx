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10/"/>
    </mc:Choice>
  </mc:AlternateContent>
  <xr:revisionPtr revIDLastSave="13" documentId="13_ncr:1_{04BF8224-A289-490A-8833-F9E7AB64C629}" xr6:coauthVersionLast="47" xr6:coauthVersionMax="47" xr10:uidLastSave="{B3CDBC11-73F9-4E8D-BC5C-0BEDC088D0EC}"/>
  <bookViews>
    <workbookView xWindow="-110" yWindow="-110" windowWidth="19420" windowHeight="11500" activeTab="1" xr2:uid="{C162B555-F4AE-41AA-9236-C559E5C69857}"/>
  </bookViews>
  <sheets>
    <sheet name="Teste 9" sheetId="1" r:id="rId1"/>
    <sheet name="Aluno" sheetId="4" r:id="rId2"/>
  </sheets>
  <definedNames>
    <definedName name="_xlnm._FilterDatabase" localSheetId="1" hidden="1">Aluno!$A$10:$E$38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1" i="4" l="1" a="1"/>
  <c r="G11" i="4" s="1"/>
  <c r="G58" i="4" a="1"/>
  <c r="G58" i="4" s="1"/>
  <c r="G34" i="4" a="1"/>
  <c r="G34" i="4" s="1"/>
  <c r="G19" i="4" a="1"/>
  <c r="G19" i="4" s="1"/>
  <c r="G11" i="1" a="1"/>
  <c r="G11" i="1" s="1"/>
  <c r="G19" i="1" a="1"/>
  <c r="G19" i="1" s="1"/>
  <c r="G58" i="1" a="1"/>
  <c r="G58" i="1" s="1"/>
  <c r="G34" i="1" a="1"/>
  <c r="G34" i="1" s="1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1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1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<sst xmlns="http://schemas.openxmlformats.org/spreadsheetml/2006/main" count="122" uniqueCount="18">
  <si>
    <t>&gt;&gt;</t>
  </si>
  <si>
    <t>Preencha a tabela ao lado indicando os vendedores que atendem simultaneamente aos seguintes critérios:</t>
  </si>
  <si>
    <t>INICIO</t>
  </si>
  <si>
    <t>FIM</t>
  </si>
  <si>
    <t>DURAÇÃO</t>
  </si>
  <si>
    <t>Código</t>
  </si>
  <si>
    <t>Leonardo Almeida</t>
  </si>
  <si>
    <t>Eliane Moreira</t>
  </si>
  <si>
    <t>Nicolas Pereira</t>
  </si>
  <si>
    <t>Amanda Martins</t>
  </si>
  <si>
    <t>Paulo Santos</t>
  </si>
  <si>
    <t>Gabriel Cardoso</t>
  </si>
  <si>
    <t>Angela Maria</t>
  </si>
  <si>
    <t>Carlos Moreira</t>
  </si>
  <si>
    <t>Funcionário</t>
  </si>
  <si>
    <t>Início entre 15/04/2022 e 19/04/2022</t>
  </si>
  <si>
    <t>Horas trabalhadas maior ou igual a 3 horas e menor ou igual a 5 horas</t>
  </si>
  <si>
    <t>Funcionários (Leonardo Almeida, Amanda Martins ou Angela Maria)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</si>
</sst>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\ h:mm;@"/>
    <numFmt numFmtId="165" formatCode="hh:mm;@"/>
  </numFmts>
  <fonts count="8" x14ac:knownFonts="1">
    <font>
      <sz val="11"/>
      <color theme="1"/>
      <name val="Calibri"/>
      <family val="2"/>
      <scheme val="minor"/>
    </font>
    <font>
      <sz val="20"/>
      <color rgb="FF0070C0"/>
      <name val="Calibri"/>
      <family val="2"/>
      <scheme val="minor"/>
    </font>
    <font>
      <b/>
      <sz val="28"/>
      <name val="Calibri"/>
      <family val="2"/>
      <scheme val="minor"/>
    </font>
    <font>
      <sz val="10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20"/>
      <color rgb="FF000000"/>
      <name val="Calibri"/>
      <family val="2"/>
      <charset val="1"/>
    </font>
    <font>
      <sz val="28"/>
      <color rgb="FF000000"/>
      <name val="Calibri"/>
      <family val="2"/>
      <charset val="1"/>
    </font>
    <font>
      <sz val="36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0C0C0"/>
        <bgColor rgb="FFBFBF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0" fillId="2" borderId="0" xfId="0" applyFill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/>
    <xf numFmtId="0" fontId="3" fillId="4" borderId="1" xfId="1" applyFont="1" applyFill="1" applyBorder="1" applyAlignment="1">
      <alignment horizontal="center"/>
    </xf>
    <xf numFmtId="164" fontId="3" fillId="4" borderId="1" xfId="1" applyNumberFormat="1" applyFont="1" applyFill="1" applyBorder="1" applyAlignment="1">
      <alignment horizontal="center"/>
    </xf>
    <xf numFmtId="2" fontId="3" fillId="4" borderId="1" xfId="1" applyNumberFormat="1" applyFont="1" applyFill="1" applyBorder="1" applyAlignment="1">
      <alignment horizontal="center"/>
    </xf>
    <xf numFmtId="0" fontId="3" fillId="0" borderId="1" xfId="1" applyFont="1" applyBorder="1" applyAlignment="1">
      <alignment horizontal="center" wrapText="1"/>
    </xf>
    <xf numFmtId="164" fontId="3" fillId="0" borderId="1" xfId="1" applyNumberFormat="1" applyFont="1" applyBorder="1" applyAlignment="1">
      <alignment horizontal="center" wrapText="1"/>
    </xf>
    <xf numFmtId="0" fontId="3" fillId="0" borderId="0" xfId="0" applyFont="1" applyAlignment="1">
      <alignment vertical="center" wrapText="1"/>
    </xf>
    <xf numFmtId="165" fontId="3" fillId="0" borderId="1" xfId="1" applyNumberFormat="1" applyFont="1" applyBorder="1" applyAlignment="1">
      <alignment horizontal="center" wrapText="1"/>
    </xf>
    <xf numFmtId="20" fontId="3" fillId="0" borderId="0" xfId="0" applyNumberFormat="1" applyFont="1"/>
    <xf numFmtId="0" fontId="6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</cellXfs>
  <cellStyles count="2">
    <cellStyle name="Normal" xfId="0" builtinId="0"/>
    <cellStyle name="Normal_SLOTS" xfId="1" xr:uid="{DA5FBCA2-BD99-4C2F-AFF4-9DE9705AB0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7BC4-26C5-4A20-AE58-7946F32FE6C5}">
  <dimension ref="A2:K71"/>
  <sheetViews>
    <sheetView showGridLines="0" zoomScale="85" zoomScaleNormal="85" workbookViewId="0">
      <selection activeCell="A10" sqref="A10"/>
    </sheetView>
  </sheetViews>
  <sheetFormatPr defaultColWidth="8.6328125" defaultRowHeight="14.5" x14ac:dyDescent="0.35"/>
  <cols>
    <col min="1" max="1" width="6.08984375" style="2" bestFit="1" customWidth="1"/>
    <col min="2" max="2" width="26.26953125" style="2" customWidth="1"/>
    <col min="3" max="4" width="13.81640625" style="3" customWidth="1"/>
    <col min="5" max="5" width="22.36328125" style="4" customWidth="1"/>
    <col min="6" max="6" width="9.81640625" style="5" customWidth="1"/>
    <col min="7" max="7" width="24.54296875" style="5" bestFit="1" customWidth="1"/>
    <col min="8" max="8" width="29" style="5" customWidth="1"/>
    <col min="9" max="10" width="13.36328125" style="5" bestFit="1" customWidth="1"/>
    <col min="11" max="11" width="15.26953125" style="5" bestFit="1" customWidth="1"/>
  </cols>
  <sheetData>
    <row r="2" spans="1:11" s="1" customFormat="1" ht="26" customHeight="1" x14ac:dyDescent="0.35">
      <c r="B2" s="17" t="s">
        <v>0</v>
      </c>
      <c r="D2" s="18" t="s">
        <v>1</v>
      </c>
      <c r="E2" s="18"/>
      <c r="F2" s="18"/>
      <c r="G2" s="18"/>
      <c r="H2" s="18"/>
      <c r="I2" s="18"/>
      <c r="J2" s="18"/>
      <c r="K2" s="18"/>
    </row>
    <row r="3" spans="1:11" s="1" customFormat="1" ht="14.5" customHeight="1" x14ac:dyDescent="0.35">
      <c r="B3" s="17"/>
      <c r="D3" s="18"/>
      <c r="E3" s="18"/>
      <c r="F3" s="18"/>
      <c r="G3" s="18"/>
      <c r="H3" s="18"/>
      <c r="I3" s="18"/>
      <c r="J3" s="18"/>
      <c r="K3" s="18"/>
    </row>
    <row r="4" spans="1:11" s="1" customFormat="1" ht="26" customHeight="1" x14ac:dyDescent="0.35">
      <c r="B4" s="17"/>
      <c r="D4" s="18"/>
      <c r="E4" s="18"/>
      <c r="F4" s="18"/>
      <c r="G4" s="18"/>
      <c r="H4" s="18"/>
      <c r="I4" s="18"/>
      <c r="J4" s="18"/>
      <c r="K4" s="18"/>
    </row>
    <row r="5" spans="1:11" s="1" customFormat="1" x14ac:dyDescent="0.35"/>
    <row r="6" spans="1:11" ht="12.75" customHeight="1" x14ac:dyDescent="0.35">
      <c r="B6" s="5">
        <v>1</v>
      </c>
      <c r="C6" s="5" t="s">
        <v>16</v>
      </c>
      <c r="G6" s="11"/>
      <c r="H6" s="11"/>
      <c r="I6" s="11"/>
      <c r="J6" s="11"/>
      <c r="K6" s="11"/>
    </row>
    <row r="7" spans="1:11" ht="12.75" customHeight="1" x14ac:dyDescent="0.35">
      <c r="B7" s="5">
        <v>2</v>
      </c>
      <c r="C7" s="5" t="s">
        <v>15</v>
      </c>
      <c r="G7" s="11"/>
      <c r="H7" s="11"/>
      <c r="I7" s="11"/>
      <c r="J7" s="11"/>
      <c r="K7" s="11"/>
    </row>
    <row r="8" spans="1:11" ht="12.75" customHeight="1" x14ac:dyDescent="0.35">
      <c r="B8" s="5">
        <v>3</v>
      </c>
      <c r="C8" s="5" t="s">
        <v>17</v>
      </c>
      <c r="G8" s="11"/>
      <c r="H8" s="11"/>
      <c r="I8" s="11"/>
      <c r="J8" s="11"/>
      <c r="K8" s="11"/>
    </row>
    <row r="9" spans="1:11" ht="12.75" customHeight="1" x14ac:dyDescent="0.35">
      <c r="G9" s="11"/>
      <c r="H9" s="11"/>
      <c r="I9" s="11"/>
      <c r="J9" s="11"/>
      <c r="K9" s="11"/>
    </row>
    <row r="10" spans="1:11" x14ac:dyDescent="0.35">
      <c r="A10" s="6" t="s">
        <v>5</v>
      </c>
      <c r="B10" s="6" t="s">
        <v>14</v>
      </c>
      <c r="C10" s="7" t="s">
        <v>2</v>
      </c>
      <c r="D10" s="7" t="s">
        <v>3</v>
      </c>
      <c r="E10" s="8" t="s">
        <v>4</v>
      </c>
      <c r="G10" s="6" t="s">
        <v>5</v>
      </c>
      <c r="H10" s="6" t="s">
        <v>14</v>
      </c>
      <c r="I10" s="7" t="s">
        <v>2</v>
      </c>
      <c r="J10" s="7" t="s">
        <v>3</v>
      </c>
      <c r="K10" s="8" t="s">
        <v>4</v>
      </c>
    </row>
    <row r="11" spans="1:11" ht="26" x14ac:dyDescent="0.6">
      <c r="A11" s="9">
        <v>1001</v>
      </c>
      <c r="B11" s="9" t="s">
        <v>6</v>
      </c>
      <c r="C11" s="10">
        <v>44666.295138888891</v>
      </c>
      <c r="D11" s="10">
        <v>44666.5</v>
      </c>
      <c r="E11" s="12">
        <f t="shared" ref="E11:E38" si="0">D11-C11</f>
        <v>0.20486111110949423</v>
      </c>
      <c r="F11" s="13"/>
      <c r="G11" s="16" cm="1">
        <f t="array" ref="G11:K15">_xlfn._xlws.FILTER(G18:K29,(I18:I29&gt;=G32)*(J18:J29&lt;=H32)*(K18:K29&gt;=G56)*(K18:K29&lt;=H56))</f>
        <v>1001</v>
      </c>
      <c r="H11" s="9" t="str">
        <v>Leonardo Almeida</v>
      </c>
      <c r="I11" s="10">
        <v>44666.295138888891</v>
      </c>
      <c r="J11" s="10">
        <v>44666.5</v>
      </c>
      <c r="K11" s="12">
        <v>0.20486111110949423</v>
      </c>
    </row>
    <row r="12" spans="1:11" x14ac:dyDescent="0.35">
      <c r="A12" s="9">
        <v>1002</v>
      </c>
      <c r="B12" s="9" t="s">
        <v>7</v>
      </c>
      <c r="C12" s="10">
        <v>44666.05</v>
      </c>
      <c r="D12" s="10">
        <v>44666.452800925923</v>
      </c>
      <c r="E12" s="12">
        <f t="shared" si="0"/>
        <v>0.40280092592001893</v>
      </c>
      <c r="G12" s="9">
        <v>1004</v>
      </c>
      <c r="H12" s="9" t="str">
        <v>Amanda Martins</v>
      </c>
      <c r="I12" s="10">
        <v>44667.347222222219</v>
      </c>
      <c r="J12" s="10">
        <v>44667.5</v>
      </c>
      <c r="K12" s="12">
        <v>0.15277777778101154</v>
      </c>
    </row>
    <row r="13" spans="1:11" x14ac:dyDescent="0.35">
      <c r="A13" s="9">
        <v>1003</v>
      </c>
      <c r="B13" s="9" t="s">
        <v>8</v>
      </c>
      <c r="C13" s="10">
        <v>44666.21875</v>
      </c>
      <c r="D13" s="10">
        <v>44666.5</v>
      </c>
      <c r="E13" s="12">
        <f t="shared" si="0"/>
        <v>0.28125</v>
      </c>
      <c r="G13" s="9">
        <v>1007</v>
      </c>
      <c r="H13" s="9" t="str">
        <v>Leonardo Almeida</v>
      </c>
      <c r="I13" s="10">
        <v>44668.54583333333</v>
      </c>
      <c r="J13" s="10">
        <v>44668.740972222222</v>
      </c>
      <c r="K13" s="12">
        <v>0.19513888889196096</v>
      </c>
    </row>
    <row r="14" spans="1:11" x14ac:dyDescent="0.35">
      <c r="A14" s="9">
        <v>1004</v>
      </c>
      <c r="B14" s="9" t="s">
        <v>9</v>
      </c>
      <c r="C14" s="10">
        <v>44667.347222222219</v>
      </c>
      <c r="D14" s="10">
        <v>44667.5</v>
      </c>
      <c r="E14" s="12">
        <f t="shared" si="0"/>
        <v>0.15277777778101154</v>
      </c>
      <c r="G14" s="9">
        <v>1010</v>
      </c>
      <c r="H14" s="9" t="str">
        <v>Amanda Martins</v>
      </c>
      <c r="I14" s="10">
        <v>44668.263194444444</v>
      </c>
      <c r="J14" s="10">
        <v>44668.426388888889</v>
      </c>
      <c r="K14" s="12">
        <v>0.16319444444525288</v>
      </c>
    </row>
    <row r="15" spans="1:11" ht="15.75" customHeight="1" x14ac:dyDescent="0.35">
      <c r="A15" s="9">
        <v>1005</v>
      </c>
      <c r="B15" s="9" t="s">
        <v>10</v>
      </c>
      <c r="C15" s="10">
        <v>44667.231249999997</v>
      </c>
      <c r="D15" s="10">
        <v>44667.254861111112</v>
      </c>
      <c r="E15" s="12">
        <f t="shared" si="0"/>
        <v>2.3611111115314998E-2</v>
      </c>
      <c r="G15" s="9">
        <v>1016</v>
      </c>
      <c r="H15" s="9" t="str">
        <v>Angela Maria</v>
      </c>
      <c r="I15" s="10">
        <v>44669.408333333333</v>
      </c>
      <c r="J15" s="10">
        <v>44669.55972222222</v>
      </c>
      <c r="K15" s="12">
        <v>0.15138888888759539</v>
      </c>
    </row>
    <row r="16" spans="1:11" x14ac:dyDescent="0.35">
      <c r="A16" s="9">
        <v>1006</v>
      </c>
      <c r="B16" s="9" t="s">
        <v>11</v>
      </c>
      <c r="C16" s="10">
        <v>44667.543749999997</v>
      </c>
      <c r="D16" s="10">
        <v>44667.702777777777</v>
      </c>
      <c r="E16" s="12">
        <f t="shared" si="0"/>
        <v>0.15902777777955635</v>
      </c>
    </row>
    <row r="17" spans="1:11" x14ac:dyDescent="0.35">
      <c r="A17" s="9">
        <v>1007</v>
      </c>
      <c r="B17" s="9" t="s">
        <v>6</v>
      </c>
      <c r="C17" s="10">
        <v>44668.54583333333</v>
      </c>
      <c r="D17" s="10">
        <v>44668.740972222222</v>
      </c>
      <c r="E17" s="12">
        <f t="shared" si="0"/>
        <v>0.19513888889196096</v>
      </c>
      <c r="G17" s="9" t="s">
        <v>6</v>
      </c>
      <c r="H17" s="9" t="s">
        <v>9</v>
      </c>
      <c r="I17" s="9" t="s">
        <v>12</v>
      </c>
    </row>
    <row r="18" spans="1:11" x14ac:dyDescent="0.35">
      <c r="A18" s="9">
        <v>1008</v>
      </c>
      <c r="B18" s="9" t="s">
        <v>7</v>
      </c>
      <c r="C18" s="10">
        <v>44668.256944444445</v>
      </c>
      <c r="D18" s="10">
        <v>44668.414583333331</v>
      </c>
      <c r="E18" s="12">
        <f t="shared" si="0"/>
        <v>0.15763888888614019</v>
      </c>
      <c r="G18" s="6" t="s">
        <v>5</v>
      </c>
      <c r="H18" s="6" t="s">
        <v>14</v>
      </c>
      <c r="I18" s="7" t="s">
        <v>2</v>
      </c>
      <c r="J18" s="7" t="s">
        <v>3</v>
      </c>
      <c r="K18" s="8" t="s">
        <v>4</v>
      </c>
    </row>
    <row r="19" spans="1:11" x14ac:dyDescent="0.35">
      <c r="A19" s="9">
        <v>1009</v>
      </c>
      <c r="B19" s="9" t="s">
        <v>8</v>
      </c>
      <c r="C19" s="10">
        <v>44668.261805555558</v>
      </c>
      <c r="D19" s="10">
        <v>44668.294444444444</v>
      </c>
      <c r="E19" s="12">
        <f t="shared" si="0"/>
        <v>3.2638888886140194E-2</v>
      </c>
      <c r="G19" s="9" cm="1">
        <f t="array" ref="G19:K29">_xlfn._xlws.FILTER(A10:E38,(B10:B38=G17)+(B10:B38=H17)+(B10:B38=I17))</f>
        <v>1001</v>
      </c>
      <c r="H19" s="9" t="str">
        <v>Leonardo Almeida</v>
      </c>
      <c r="I19" s="10">
        <v>44666.295138888891</v>
      </c>
      <c r="J19" s="10">
        <v>44666.5</v>
      </c>
      <c r="K19" s="12">
        <v>0.20486111110949423</v>
      </c>
    </row>
    <row r="20" spans="1:11" x14ac:dyDescent="0.35">
      <c r="A20" s="9">
        <v>1010</v>
      </c>
      <c r="B20" s="9" t="s">
        <v>9</v>
      </c>
      <c r="C20" s="10">
        <v>44668.263194444444</v>
      </c>
      <c r="D20" s="10">
        <v>44668.426388888889</v>
      </c>
      <c r="E20" s="12">
        <f t="shared" si="0"/>
        <v>0.16319444444525288</v>
      </c>
      <c r="G20" s="9">
        <v>1004</v>
      </c>
      <c r="H20" s="9" t="str">
        <v>Amanda Martins</v>
      </c>
      <c r="I20" s="10">
        <v>44667.347222222219</v>
      </c>
      <c r="J20" s="10">
        <v>44667.5</v>
      </c>
      <c r="K20" s="12">
        <v>0.15277777778101154</v>
      </c>
    </row>
    <row r="21" spans="1:11" x14ac:dyDescent="0.35">
      <c r="A21" s="9">
        <v>1011</v>
      </c>
      <c r="B21" s="9" t="s">
        <v>6</v>
      </c>
      <c r="C21" s="10">
        <v>44668.263888888891</v>
      </c>
      <c r="D21" s="10">
        <v>44668.302777777775</v>
      </c>
      <c r="E21" s="12">
        <f t="shared" si="0"/>
        <v>3.8888888884685002E-2</v>
      </c>
      <c r="G21" s="9">
        <v>1007</v>
      </c>
      <c r="H21" s="9" t="str">
        <v>Leonardo Almeida</v>
      </c>
      <c r="I21" s="10">
        <v>44668.54583333333</v>
      </c>
      <c r="J21" s="10">
        <v>44668.740972222222</v>
      </c>
      <c r="K21" s="12">
        <v>0.19513888889196096</v>
      </c>
    </row>
    <row r="22" spans="1:11" x14ac:dyDescent="0.35">
      <c r="A22" s="9">
        <v>1012</v>
      </c>
      <c r="B22" s="9" t="s">
        <v>7</v>
      </c>
      <c r="C22" s="10">
        <v>44668.392361111109</v>
      </c>
      <c r="D22" s="10">
        <v>44668.50277777778</v>
      </c>
      <c r="E22" s="12">
        <f t="shared" si="0"/>
        <v>0.11041666667006211</v>
      </c>
      <c r="G22" s="9">
        <v>1010</v>
      </c>
      <c r="H22" s="9" t="str">
        <v>Amanda Martins</v>
      </c>
      <c r="I22" s="10">
        <v>44668.263194444444</v>
      </c>
      <c r="J22" s="10">
        <v>44668.426388888889</v>
      </c>
      <c r="K22" s="12">
        <v>0.16319444444525288</v>
      </c>
    </row>
    <row r="23" spans="1:11" x14ac:dyDescent="0.35">
      <c r="A23" s="9">
        <v>1013</v>
      </c>
      <c r="B23" s="9" t="s">
        <v>8</v>
      </c>
      <c r="C23" s="10">
        <v>44669.354687500003</v>
      </c>
      <c r="D23" s="10">
        <v>44669.512499999997</v>
      </c>
      <c r="E23" s="12">
        <f t="shared" si="0"/>
        <v>0.15781249999417923</v>
      </c>
      <c r="G23" s="9">
        <v>1011</v>
      </c>
      <c r="H23" s="9" t="str">
        <v>Leonardo Almeida</v>
      </c>
      <c r="I23" s="10">
        <v>44668.263888888891</v>
      </c>
      <c r="J23" s="10">
        <v>44668.302777777775</v>
      </c>
      <c r="K23" s="12">
        <v>3.8888888884685002E-2</v>
      </c>
    </row>
    <row r="24" spans="1:11" x14ac:dyDescent="0.35">
      <c r="A24" s="9">
        <v>1014</v>
      </c>
      <c r="B24" s="9" t="s">
        <v>9</v>
      </c>
      <c r="C24" s="10">
        <v>44669.400694444441</v>
      </c>
      <c r="D24" s="10">
        <v>44669.722222222219</v>
      </c>
      <c r="E24" s="12">
        <f t="shared" si="0"/>
        <v>0.32152777777810115</v>
      </c>
      <c r="G24" s="9">
        <v>1014</v>
      </c>
      <c r="H24" s="9" t="str">
        <v>Amanda Martins</v>
      </c>
      <c r="I24" s="10">
        <v>44669.400694444441</v>
      </c>
      <c r="J24" s="10">
        <v>44669.722222222219</v>
      </c>
      <c r="K24" s="12">
        <v>0.32152777777810115</v>
      </c>
    </row>
    <row r="25" spans="1:11" x14ac:dyDescent="0.35">
      <c r="A25" s="9">
        <v>1015</v>
      </c>
      <c r="B25" s="9" t="s">
        <v>7</v>
      </c>
      <c r="C25" s="10">
        <v>44669.28125</v>
      </c>
      <c r="D25" s="10">
        <v>44669.4375</v>
      </c>
      <c r="E25" s="12">
        <f t="shared" si="0"/>
        <v>0.15625</v>
      </c>
      <c r="G25" s="9">
        <v>1016</v>
      </c>
      <c r="H25" s="9" t="str">
        <v>Angela Maria</v>
      </c>
      <c r="I25" s="10">
        <v>44669.408333333333</v>
      </c>
      <c r="J25" s="10">
        <v>44669.55972222222</v>
      </c>
      <c r="K25" s="12">
        <v>0.15138888888759539</v>
      </c>
    </row>
    <row r="26" spans="1:11" x14ac:dyDescent="0.35">
      <c r="A26" s="9">
        <v>1016</v>
      </c>
      <c r="B26" s="9" t="s">
        <v>12</v>
      </c>
      <c r="C26" s="10">
        <v>44669.408333333333</v>
      </c>
      <c r="D26" s="10">
        <v>44669.55972222222</v>
      </c>
      <c r="E26" s="12">
        <f t="shared" si="0"/>
        <v>0.15138888888759539</v>
      </c>
      <c r="G26" s="9">
        <v>1020</v>
      </c>
      <c r="H26" s="9" t="str">
        <v>Leonardo Almeida</v>
      </c>
      <c r="I26" s="10">
        <v>44670.37777777778</v>
      </c>
      <c r="J26" s="10">
        <v>44670.743055555555</v>
      </c>
      <c r="K26" s="12">
        <v>0.36527777777519077</v>
      </c>
    </row>
    <row r="27" spans="1:11" x14ac:dyDescent="0.35">
      <c r="A27" s="9">
        <v>1017</v>
      </c>
      <c r="B27" s="9" t="s">
        <v>13</v>
      </c>
      <c r="C27" s="10">
        <v>44670.499305555553</v>
      </c>
      <c r="D27" s="10">
        <v>44670.738888888889</v>
      </c>
      <c r="E27" s="12">
        <f t="shared" si="0"/>
        <v>0.23958333333575865</v>
      </c>
      <c r="G27" s="9">
        <v>1022</v>
      </c>
      <c r="H27" s="9" t="str">
        <v>Leonardo Almeida</v>
      </c>
      <c r="I27" s="10">
        <v>44671.383333333331</v>
      </c>
      <c r="J27" s="10">
        <v>44671.633333333331</v>
      </c>
      <c r="K27" s="12">
        <v>0.25</v>
      </c>
    </row>
    <row r="28" spans="1:11" x14ac:dyDescent="0.35">
      <c r="A28" s="9">
        <v>1018</v>
      </c>
      <c r="B28" s="9" t="s">
        <v>7</v>
      </c>
      <c r="C28" s="10">
        <v>44670.377083333333</v>
      </c>
      <c r="D28" s="10">
        <v>44670.574999999997</v>
      </c>
      <c r="E28" s="12">
        <f t="shared" si="0"/>
        <v>0.19791666666424135</v>
      </c>
      <c r="G28" s="9">
        <v>1025</v>
      </c>
      <c r="H28" s="9" t="str">
        <v>Amanda Martins</v>
      </c>
      <c r="I28" s="10">
        <v>44672.305555555555</v>
      </c>
      <c r="J28" s="10">
        <v>44672.493055555555</v>
      </c>
      <c r="K28" s="12">
        <v>0.1875</v>
      </c>
    </row>
    <row r="29" spans="1:11" x14ac:dyDescent="0.35">
      <c r="A29" s="9">
        <v>1019</v>
      </c>
      <c r="B29" s="9" t="s">
        <v>8</v>
      </c>
      <c r="C29" s="10">
        <v>44670.361805555556</v>
      </c>
      <c r="D29" s="10">
        <v>44670.493055555555</v>
      </c>
      <c r="E29" s="12">
        <f t="shared" si="0"/>
        <v>0.13124999999854481</v>
      </c>
      <c r="G29" s="9">
        <v>1028</v>
      </c>
      <c r="H29" s="9" t="str">
        <v>Amanda Martins</v>
      </c>
      <c r="I29" s="10">
        <v>44673.3125</v>
      </c>
      <c r="J29" s="10">
        <v>44673.890277777777</v>
      </c>
      <c r="K29" s="12">
        <v>0.57777777777664596</v>
      </c>
    </row>
    <row r="30" spans="1:11" x14ac:dyDescent="0.35">
      <c r="A30" s="9">
        <v>1020</v>
      </c>
      <c r="B30" s="9" t="s">
        <v>6</v>
      </c>
      <c r="C30" s="10">
        <v>44670.37777777778</v>
      </c>
      <c r="D30" s="10">
        <v>44670.743055555555</v>
      </c>
      <c r="E30" s="12">
        <f t="shared" si="0"/>
        <v>0.36527777777519077</v>
      </c>
    </row>
    <row r="31" spans="1:11" x14ac:dyDescent="0.35">
      <c r="A31" s="9">
        <v>1021</v>
      </c>
      <c r="B31" s="9" t="s">
        <v>11</v>
      </c>
      <c r="C31" s="10">
        <v>44671.337500000001</v>
      </c>
      <c r="D31" s="10">
        <v>44671.913194444445</v>
      </c>
      <c r="E31" s="12">
        <f t="shared" si="0"/>
        <v>0.57569444444379769</v>
      </c>
    </row>
    <row r="32" spans="1:11" x14ac:dyDescent="0.35">
      <c r="A32" s="9">
        <v>1022</v>
      </c>
      <c r="B32" s="9" t="s">
        <v>6</v>
      </c>
      <c r="C32" s="10">
        <v>44671.383333333331</v>
      </c>
      <c r="D32" s="10">
        <v>44671.633333333331</v>
      </c>
      <c r="E32" s="12">
        <f t="shared" si="0"/>
        <v>0.25</v>
      </c>
      <c r="G32" s="10">
        <v>44666</v>
      </c>
      <c r="H32" s="10">
        <v>44670.999988425923</v>
      </c>
    </row>
    <row r="33" spans="1:11" x14ac:dyDescent="0.35">
      <c r="A33" s="9">
        <v>1023</v>
      </c>
      <c r="B33" s="9" t="s">
        <v>7</v>
      </c>
      <c r="C33" s="10">
        <v>44671.341666666667</v>
      </c>
      <c r="D33" s="10">
        <v>44671.513888888891</v>
      </c>
      <c r="E33" s="12">
        <f t="shared" si="0"/>
        <v>0.17222222222335404</v>
      </c>
      <c r="G33" s="6" t="s">
        <v>5</v>
      </c>
      <c r="H33" s="6" t="s">
        <v>14</v>
      </c>
      <c r="I33" s="7" t="s">
        <v>2</v>
      </c>
      <c r="J33" s="7" t="s">
        <v>3</v>
      </c>
      <c r="K33" s="8" t="s">
        <v>4</v>
      </c>
    </row>
    <row r="34" spans="1:11" ht="36" x14ac:dyDescent="0.8">
      <c r="A34" s="9">
        <v>1024</v>
      </c>
      <c r="B34" s="9" t="s">
        <v>8</v>
      </c>
      <c r="C34" s="10">
        <v>44672.306250000001</v>
      </c>
      <c r="D34" s="10">
        <v>44672.331250000003</v>
      </c>
      <c r="E34" s="12">
        <f t="shared" si="0"/>
        <v>2.5000000001455192E-2</v>
      </c>
      <c r="G34" s="14" cm="1">
        <f t="array" ref="G34:K53">_xlfn._xlws.FILTER(A10:E38,(C10:C38&gt;=G32)*(D10:D38&lt;=H32))</f>
        <v>1001</v>
      </c>
      <c r="H34" s="9" t="str">
        <v>Leonardo Almeida</v>
      </c>
      <c r="I34" s="10">
        <v>44666.295138888891</v>
      </c>
      <c r="J34" s="10">
        <v>44666.5</v>
      </c>
      <c r="K34" s="12">
        <v>0.20486111110949423</v>
      </c>
    </row>
    <row r="35" spans="1:11" x14ac:dyDescent="0.35">
      <c r="A35" s="9">
        <v>1025</v>
      </c>
      <c r="B35" s="9" t="s">
        <v>9</v>
      </c>
      <c r="C35" s="10">
        <v>44672.305555555555</v>
      </c>
      <c r="D35" s="10">
        <v>44672.493055555555</v>
      </c>
      <c r="E35" s="12">
        <f t="shared" si="0"/>
        <v>0.1875</v>
      </c>
      <c r="G35" s="9">
        <v>1002</v>
      </c>
      <c r="H35" s="9" t="str">
        <v>Eliane Moreira</v>
      </c>
      <c r="I35" s="10">
        <v>44666.05</v>
      </c>
      <c r="J35" s="10">
        <v>44666.452800925923</v>
      </c>
      <c r="K35" s="12">
        <v>0.40280092592001893</v>
      </c>
    </row>
    <row r="36" spans="1:11" x14ac:dyDescent="0.35">
      <c r="A36" s="9">
        <v>1026</v>
      </c>
      <c r="B36" s="9" t="s">
        <v>7</v>
      </c>
      <c r="C36" s="10">
        <v>44672.308333333334</v>
      </c>
      <c r="D36" s="10">
        <v>44672.509722222225</v>
      </c>
      <c r="E36" s="12">
        <f t="shared" si="0"/>
        <v>0.20138888889050577</v>
      </c>
      <c r="G36" s="9">
        <v>1003</v>
      </c>
      <c r="H36" s="9" t="str">
        <v>Nicolas Pereira</v>
      </c>
      <c r="I36" s="10">
        <v>44666.21875</v>
      </c>
      <c r="J36" s="10">
        <v>44666.5</v>
      </c>
      <c r="K36" s="12">
        <v>0.28125</v>
      </c>
    </row>
    <row r="37" spans="1:11" x14ac:dyDescent="0.35">
      <c r="A37" s="9">
        <v>1027</v>
      </c>
      <c r="B37" s="9" t="s">
        <v>8</v>
      </c>
      <c r="C37" s="10">
        <v>44672.310416666667</v>
      </c>
      <c r="D37" s="10">
        <v>44672.791666666664</v>
      </c>
      <c r="E37" s="12">
        <f t="shared" si="0"/>
        <v>0.48124999999708962</v>
      </c>
      <c r="G37" s="9">
        <v>1004</v>
      </c>
      <c r="H37" s="9" t="str">
        <v>Amanda Martins</v>
      </c>
      <c r="I37" s="10">
        <v>44667.347222222219</v>
      </c>
      <c r="J37" s="10">
        <v>44667.5</v>
      </c>
      <c r="K37" s="12">
        <v>0.15277777778101154</v>
      </c>
    </row>
    <row r="38" spans="1:11" x14ac:dyDescent="0.35">
      <c r="A38" s="9">
        <v>1028</v>
      </c>
      <c r="B38" s="9" t="s">
        <v>9</v>
      </c>
      <c r="C38" s="10">
        <v>44673.3125</v>
      </c>
      <c r="D38" s="10">
        <v>44673.890277777777</v>
      </c>
      <c r="E38" s="12">
        <f t="shared" si="0"/>
        <v>0.57777777777664596</v>
      </c>
      <c r="G38" s="9">
        <v>1005</v>
      </c>
      <c r="H38" s="9" t="str">
        <v>Paulo Santos</v>
      </c>
      <c r="I38" s="10">
        <v>44667.231249999997</v>
      </c>
      <c r="J38" s="10">
        <v>44667.254861111112</v>
      </c>
      <c r="K38" s="12">
        <v>2.3611111115314998E-2</v>
      </c>
    </row>
    <row r="39" spans="1:11" x14ac:dyDescent="0.35">
      <c r="G39" s="9">
        <v>1006</v>
      </c>
      <c r="H39" s="9" t="str">
        <v>Gabriel Cardoso</v>
      </c>
      <c r="I39" s="10">
        <v>44667.543749999997</v>
      </c>
      <c r="J39" s="10">
        <v>44667.702777777777</v>
      </c>
      <c r="K39" s="12">
        <v>0.15902777777955635</v>
      </c>
    </row>
    <row r="40" spans="1:11" x14ac:dyDescent="0.35">
      <c r="G40" s="9">
        <v>1007</v>
      </c>
      <c r="H40" s="9" t="str">
        <v>Leonardo Almeida</v>
      </c>
      <c r="I40" s="10">
        <v>44668.54583333333</v>
      </c>
      <c r="J40" s="10">
        <v>44668.740972222222</v>
      </c>
      <c r="K40" s="12">
        <v>0.19513888889196096</v>
      </c>
    </row>
    <row r="41" spans="1:11" x14ac:dyDescent="0.35">
      <c r="G41" s="9">
        <v>1008</v>
      </c>
      <c r="H41" s="9" t="str">
        <v>Eliane Moreira</v>
      </c>
      <c r="I41" s="10">
        <v>44668.256944444445</v>
      </c>
      <c r="J41" s="10">
        <v>44668.414583333331</v>
      </c>
      <c r="K41" s="12">
        <v>0.15763888888614019</v>
      </c>
    </row>
    <row r="42" spans="1:11" x14ac:dyDescent="0.35">
      <c r="G42" s="9">
        <v>1009</v>
      </c>
      <c r="H42" s="9" t="str">
        <v>Nicolas Pereira</v>
      </c>
      <c r="I42" s="10">
        <v>44668.261805555558</v>
      </c>
      <c r="J42" s="10">
        <v>44668.294444444444</v>
      </c>
      <c r="K42" s="12">
        <v>3.2638888886140194E-2</v>
      </c>
    </row>
    <row r="43" spans="1:11" x14ac:dyDescent="0.35">
      <c r="G43" s="9">
        <v>1010</v>
      </c>
      <c r="H43" s="9" t="str">
        <v>Amanda Martins</v>
      </c>
      <c r="I43" s="10">
        <v>44668.263194444444</v>
      </c>
      <c r="J43" s="10">
        <v>44668.426388888889</v>
      </c>
      <c r="K43" s="12">
        <v>0.16319444444525288</v>
      </c>
    </row>
    <row r="44" spans="1:11" x14ac:dyDescent="0.35">
      <c r="G44" s="9">
        <v>1011</v>
      </c>
      <c r="H44" s="9" t="str">
        <v>Leonardo Almeida</v>
      </c>
      <c r="I44" s="10">
        <v>44668.263888888891</v>
      </c>
      <c r="J44" s="10">
        <v>44668.302777777775</v>
      </c>
      <c r="K44" s="12">
        <v>3.8888888884685002E-2</v>
      </c>
    </row>
    <row r="45" spans="1:11" x14ac:dyDescent="0.35">
      <c r="G45" s="9">
        <v>1012</v>
      </c>
      <c r="H45" s="9" t="str">
        <v>Eliane Moreira</v>
      </c>
      <c r="I45" s="10">
        <v>44668.392361111109</v>
      </c>
      <c r="J45" s="10">
        <v>44668.50277777778</v>
      </c>
      <c r="K45" s="12">
        <v>0.11041666667006211</v>
      </c>
    </row>
    <row r="46" spans="1:11" x14ac:dyDescent="0.35">
      <c r="G46" s="9">
        <v>1013</v>
      </c>
      <c r="H46" s="9" t="str">
        <v>Nicolas Pereira</v>
      </c>
      <c r="I46" s="10">
        <v>44669.354687500003</v>
      </c>
      <c r="J46" s="10">
        <v>44669.512499999997</v>
      </c>
      <c r="K46" s="12">
        <v>0.15781249999417923</v>
      </c>
    </row>
    <row r="47" spans="1:11" x14ac:dyDescent="0.35">
      <c r="G47" s="9">
        <v>1014</v>
      </c>
      <c r="H47" s="9" t="str">
        <v>Amanda Martins</v>
      </c>
      <c r="I47" s="10">
        <v>44669.400694444441</v>
      </c>
      <c r="J47" s="10">
        <v>44669.722222222219</v>
      </c>
      <c r="K47" s="12">
        <v>0.32152777777810115</v>
      </c>
    </row>
    <row r="48" spans="1:11" x14ac:dyDescent="0.35">
      <c r="G48" s="9">
        <v>1015</v>
      </c>
      <c r="H48" s="9" t="str">
        <v>Eliane Moreira</v>
      </c>
      <c r="I48" s="10">
        <v>44669.28125</v>
      </c>
      <c r="J48" s="10">
        <v>44669.4375</v>
      </c>
      <c r="K48" s="12">
        <v>0.15625</v>
      </c>
    </row>
    <row r="49" spans="7:11" x14ac:dyDescent="0.35">
      <c r="G49" s="9">
        <v>1016</v>
      </c>
      <c r="H49" s="9" t="str">
        <v>Angela Maria</v>
      </c>
      <c r="I49" s="10">
        <v>44669.408333333333</v>
      </c>
      <c r="J49" s="10">
        <v>44669.55972222222</v>
      </c>
      <c r="K49" s="12">
        <v>0.15138888888759539</v>
      </c>
    </row>
    <row r="50" spans="7:11" x14ac:dyDescent="0.35">
      <c r="G50" s="9">
        <v>1017</v>
      </c>
      <c r="H50" s="9" t="str">
        <v>Carlos Moreira</v>
      </c>
      <c r="I50" s="10">
        <v>44670.499305555553</v>
      </c>
      <c r="J50" s="10">
        <v>44670.738888888889</v>
      </c>
      <c r="K50" s="12">
        <v>0.23958333333575865</v>
      </c>
    </row>
    <row r="51" spans="7:11" x14ac:dyDescent="0.35">
      <c r="G51" s="9">
        <v>1018</v>
      </c>
      <c r="H51" s="9" t="str">
        <v>Eliane Moreira</v>
      </c>
      <c r="I51" s="10">
        <v>44670.377083333333</v>
      </c>
      <c r="J51" s="10">
        <v>44670.574999999997</v>
      </c>
      <c r="K51" s="12">
        <v>0.19791666666424135</v>
      </c>
    </row>
    <row r="52" spans="7:11" x14ac:dyDescent="0.35">
      <c r="G52" s="9">
        <v>1019</v>
      </c>
      <c r="H52" s="9" t="str">
        <v>Nicolas Pereira</v>
      </c>
      <c r="I52" s="10">
        <v>44670.361805555556</v>
      </c>
      <c r="J52" s="10">
        <v>44670.493055555555</v>
      </c>
      <c r="K52" s="12">
        <v>0.13124999999854481</v>
      </c>
    </row>
    <row r="53" spans="7:11" x14ac:dyDescent="0.35">
      <c r="G53" s="9">
        <v>1020</v>
      </c>
      <c r="H53" s="9" t="str">
        <v>Leonardo Almeida</v>
      </c>
      <c r="I53" s="10">
        <v>44670.37777777778</v>
      </c>
      <c r="J53" s="10">
        <v>44670.743055555555</v>
      </c>
      <c r="K53" s="12">
        <v>0.36527777777519077</v>
      </c>
    </row>
    <row r="56" spans="7:11" x14ac:dyDescent="0.35">
      <c r="G56" s="12">
        <v>0.125</v>
      </c>
      <c r="H56" s="12">
        <v>0.20833333333333334</v>
      </c>
    </row>
    <row r="57" spans="7:11" x14ac:dyDescent="0.35">
      <c r="G57" s="6" t="s">
        <v>5</v>
      </c>
      <c r="H57" s="6" t="s">
        <v>14</v>
      </c>
      <c r="I57" s="7" t="s">
        <v>2</v>
      </c>
      <c r="J57" s="7" t="s">
        <v>3</v>
      </c>
      <c r="K57" s="8" t="s">
        <v>4</v>
      </c>
    </row>
    <row r="58" spans="7:11" ht="46" x14ac:dyDescent="1">
      <c r="G58" s="15" cm="1">
        <f t="array" ref="G58:K71">_xlfn._xlws.FILTER(A10:E38,(E10:E38&gt;=G56)*(E10:E38&lt;=H56))</f>
        <v>1001</v>
      </c>
      <c r="H58" s="9" t="str">
        <v>Leonardo Almeida</v>
      </c>
      <c r="I58" s="10">
        <v>44666.295138888891</v>
      </c>
      <c r="J58" s="10">
        <v>44666.5</v>
      </c>
      <c r="K58" s="12">
        <v>0.20486111110949423</v>
      </c>
    </row>
    <row r="59" spans="7:11" x14ac:dyDescent="0.35">
      <c r="G59" s="9">
        <v>1004</v>
      </c>
      <c r="H59" s="9" t="str">
        <v>Amanda Martins</v>
      </c>
      <c r="I59" s="10">
        <v>44667.347222222219</v>
      </c>
      <c r="J59" s="10">
        <v>44667.5</v>
      </c>
      <c r="K59" s="12">
        <v>0.15277777778101154</v>
      </c>
    </row>
    <row r="60" spans="7:11" x14ac:dyDescent="0.35">
      <c r="G60" s="9">
        <v>1006</v>
      </c>
      <c r="H60" s="9" t="str">
        <v>Gabriel Cardoso</v>
      </c>
      <c r="I60" s="10">
        <v>44667.543749999997</v>
      </c>
      <c r="J60" s="10">
        <v>44667.702777777777</v>
      </c>
      <c r="K60" s="12">
        <v>0.15902777777955635</v>
      </c>
    </row>
    <row r="61" spans="7:11" x14ac:dyDescent="0.35">
      <c r="G61" s="9">
        <v>1007</v>
      </c>
      <c r="H61" s="9" t="str">
        <v>Leonardo Almeida</v>
      </c>
      <c r="I61" s="10">
        <v>44668.54583333333</v>
      </c>
      <c r="J61" s="10">
        <v>44668.740972222222</v>
      </c>
      <c r="K61" s="12">
        <v>0.19513888889196096</v>
      </c>
    </row>
    <row r="62" spans="7:11" x14ac:dyDescent="0.35">
      <c r="G62" s="9">
        <v>1008</v>
      </c>
      <c r="H62" s="9" t="str">
        <v>Eliane Moreira</v>
      </c>
      <c r="I62" s="10">
        <v>44668.256944444445</v>
      </c>
      <c r="J62" s="10">
        <v>44668.414583333331</v>
      </c>
      <c r="K62" s="12">
        <v>0.15763888888614019</v>
      </c>
    </row>
    <row r="63" spans="7:11" x14ac:dyDescent="0.35">
      <c r="G63" s="9">
        <v>1010</v>
      </c>
      <c r="H63" s="9" t="str">
        <v>Amanda Martins</v>
      </c>
      <c r="I63" s="10">
        <v>44668.263194444444</v>
      </c>
      <c r="J63" s="10">
        <v>44668.426388888889</v>
      </c>
      <c r="K63" s="12">
        <v>0.16319444444525288</v>
      </c>
    </row>
    <row r="64" spans="7:11" x14ac:dyDescent="0.35">
      <c r="G64" s="9">
        <v>1013</v>
      </c>
      <c r="H64" s="9" t="str">
        <v>Nicolas Pereira</v>
      </c>
      <c r="I64" s="10">
        <v>44669.354687500003</v>
      </c>
      <c r="J64" s="10">
        <v>44669.512499999997</v>
      </c>
      <c r="K64" s="12">
        <v>0.15781249999417923</v>
      </c>
    </row>
    <row r="65" spans="7:11" x14ac:dyDescent="0.35">
      <c r="G65" s="9">
        <v>1015</v>
      </c>
      <c r="H65" s="9" t="str">
        <v>Eliane Moreira</v>
      </c>
      <c r="I65" s="10">
        <v>44669.28125</v>
      </c>
      <c r="J65" s="10">
        <v>44669.4375</v>
      </c>
      <c r="K65" s="12">
        <v>0.15625</v>
      </c>
    </row>
    <row r="66" spans="7:11" x14ac:dyDescent="0.35">
      <c r="G66" s="9">
        <v>1016</v>
      </c>
      <c r="H66" s="9" t="str">
        <v>Angela Maria</v>
      </c>
      <c r="I66" s="10">
        <v>44669.408333333333</v>
      </c>
      <c r="J66" s="10">
        <v>44669.55972222222</v>
      </c>
      <c r="K66" s="12">
        <v>0.15138888888759539</v>
      </c>
    </row>
    <row r="67" spans="7:11" x14ac:dyDescent="0.35">
      <c r="G67" s="9">
        <v>1018</v>
      </c>
      <c r="H67" s="9" t="str">
        <v>Eliane Moreira</v>
      </c>
      <c r="I67" s="10">
        <v>44670.377083333333</v>
      </c>
      <c r="J67" s="10">
        <v>44670.574999999997</v>
      </c>
      <c r="K67" s="12">
        <v>0.19791666666424135</v>
      </c>
    </row>
    <row r="68" spans="7:11" x14ac:dyDescent="0.35">
      <c r="G68" s="9">
        <v>1019</v>
      </c>
      <c r="H68" s="9" t="str">
        <v>Nicolas Pereira</v>
      </c>
      <c r="I68" s="10">
        <v>44670.361805555556</v>
      </c>
      <c r="J68" s="10">
        <v>44670.493055555555</v>
      </c>
      <c r="K68" s="12">
        <v>0.13124999999854481</v>
      </c>
    </row>
    <row r="69" spans="7:11" x14ac:dyDescent="0.35">
      <c r="G69" s="9">
        <v>1023</v>
      </c>
      <c r="H69" s="9" t="str">
        <v>Eliane Moreira</v>
      </c>
      <c r="I69" s="10">
        <v>44671.341666666667</v>
      </c>
      <c r="J69" s="10">
        <v>44671.513888888891</v>
      </c>
      <c r="K69" s="12">
        <v>0.17222222222335404</v>
      </c>
    </row>
    <row r="70" spans="7:11" x14ac:dyDescent="0.35">
      <c r="G70" s="9">
        <v>1025</v>
      </c>
      <c r="H70" s="9" t="str">
        <v>Amanda Martins</v>
      </c>
      <c r="I70" s="10">
        <v>44672.305555555555</v>
      </c>
      <c r="J70" s="10">
        <v>44672.493055555555</v>
      </c>
      <c r="K70" s="12">
        <v>0.1875</v>
      </c>
    </row>
    <row r="71" spans="7:11" x14ac:dyDescent="0.35">
      <c r="G71" s="9">
        <v>1026</v>
      </c>
      <c r="H71" s="9" t="str">
        <v>Eliane Moreira</v>
      </c>
      <c r="I71" s="10">
        <v>44672.308333333334</v>
      </c>
      <c r="J71" s="10">
        <v>44672.509722222225</v>
      </c>
      <c r="K71" s="12">
        <v>0.20138888889050577</v>
      </c>
    </row>
  </sheetData>
  <mergeCells count="2">
    <mergeCell ref="B2:B4"/>
    <mergeCell ref="D2:K4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BB4B-9DB1-4C58-A17A-D4D02A2D11A0}">
  <dimension ref="A2:K71"/>
  <sheetViews>
    <sheetView showGridLines="0" tabSelected="1" topLeftCell="C5" workbookViewId="0">
      <selection activeCell="H21" sqref="H21"/>
    </sheetView>
  </sheetViews>
  <sheetFormatPr defaultColWidth="8.6328125" defaultRowHeight="14.5" x14ac:dyDescent="0.35"/>
  <cols>
    <col min="1" max="1" width="6.08984375" style="2" bestFit="1" customWidth="1"/>
    <col min="2" max="2" width="26.26953125" style="2" customWidth="1"/>
    <col min="3" max="4" width="13.81640625" style="3" customWidth="1"/>
    <col min="5" max="5" width="22.36328125" style="4" customWidth="1"/>
    <col min="6" max="6" width="9.81640625" style="5" customWidth="1"/>
    <col min="7" max="7" width="24.54296875" style="5" bestFit="1" customWidth="1"/>
    <col min="8" max="8" width="29" style="5" customWidth="1"/>
    <col min="9" max="10" width="13.36328125" style="5" bestFit="1" customWidth="1"/>
    <col min="11" max="11" width="15.26953125" style="5" bestFit="1" customWidth="1"/>
  </cols>
  <sheetData>
    <row r="2" spans="1:11" s="1" customFormat="1" ht="26" customHeight="1" x14ac:dyDescent="0.35">
      <c r="B2" s="17" t="s">
        <v>0</v>
      </c>
      <c r="D2" s="18" t="s">
        <v>1</v>
      </c>
      <c r="E2" s="18"/>
      <c r="F2" s="18"/>
      <c r="G2" s="18"/>
      <c r="H2" s="18"/>
      <c r="I2" s="18"/>
      <c r="J2" s="18"/>
      <c r="K2" s="18"/>
    </row>
    <row r="3" spans="1:11" s="1" customFormat="1" ht="14.5" customHeight="1" x14ac:dyDescent="0.35">
      <c r="B3" s="17"/>
      <c r="D3" s="18"/>
      <c r="E3" s="18"/>
      <c r="F3" s="18"/>
      <c r="G3" s="18"/>
      <c r="H3" s="18"/>
      <c r="I3" s="18"/>
      <c r="J3" s="18"/>
      <c r="K3" s="18"/>
    </row>
    <row r="4" spans="1:11" s="1" customFormat="1" ht="26" customHeight="1" x14ac:dyDescent="0.35">
      <c r="B4" s="17"/>
      <c r="D4" s="18"/>
      <c r="E4" s="18"/>
      <c r="F4" s="18"/>
      <c r="G4" s="18"/>
      <c r="H4" s="18"/>
      <c r="I4" s="18"/>
      <c r="J4" s="18"/>
      <c r="K4" s="18"/>
    </row>
    <row r="5" spans="1:11" s="1" customFormat="1" x14ac:dyDescent="0.35"/>
    <row r="6" spans="1:11" ht="12.75" customHeight="1" x14ac:dyDescent="0.35">
      <c r="B6" s="5">
        <v>1</v>
      </c>
      <c r="C6" s="5" t="s">
        <v>16</v>
      </c>
      <c r="G6" s="11"/>
      <c r="H6" s="11"/>
      <c r="I6" s="11"/>
      <c r="J6" s="11"/>
      <c r="K6" s="11"/>
    </row>
    <row r="7" spans="1:11" ht="12.75" customHeight="1" x14ac:dyDescent="0.35">
      <c r="B7" s="5">
        <v>2</v>
      </c>
      <c r="C7" s="5" t="s">
        <v>15</v>
      </c>
      <c r="G7" s="11"/>
      <c r="H7" s="11"/>
      <c r="I7" s="11"/>
      <c r="J7" s="11"/>
      <c r="K7" s="11"/>
    </row>
    <row r="8" spans="1:11" ht="12.75" customHeight="1" x14ac:dyDescent="0.35">
      <c r="B8" s="5">
        <v>3</v>
      </c>
      <c r="C8" s="5" t="s">
        <v>17</v>
      </c>
      <c r="G8" s="11"/>
      <c r="H8" s="11"/>
      <c r="I8" s="11"/>
      <c r="J8" s="11"/>
      <c r="K8" s="11"/>
    </row>
    <row r="9" spans="1:11" ht="12.75" customHeight="1" x14ac:dyDescent="0.35">
      <c r="G9" s="11"/>
      <c r="H9" s="11"/>
      <c r="I9" s="11"/>
      <c r="J9" s="11"/>
      <c r="K9" s="11"/>
    </row>
    <row r="10" spans="1:11" x14ac:dyDescent="0.35">
      <c r="A10" s="6" t="s">
        <v>5</v>
      </c>
      <c r="B10" s="6" t="s">
        <v>14</v>
      </c>
      <c r="C10" s="7" t="s">
        <v>2</v>
      </c>
      <c r="D10" s="7" t="s">
        <v>3</v>
      </c>
      <c r="E10" s="8" t="s">
        <v>4</v>
      </c>
      <c r="G10" s="6" t="s">
        <v>5</v>
      </c>
      <c r="H10" s="6" t="s">
        <v>14</v>
      </c>
      <c r="I10" s="7" t="s">
        <v>2</v>
      </c>
      <c r="J10" s="7" t="s">
        <v>3</v>
      </c>
      <c r="K10" s="8" t="s">
        <v>4</v>
      </c>
    </row>
    <row r="11" spans="1:11" x14ac:dyDescent="0.35">
      <c r="A11" s="9">
        <v>1001</v>
      </c>
      <c r="B11" s="9" t="s">
        <v>6</v>
      </c>
      <c r="C11" s="10">
        <v>44666.295138888891</v>
      </c>
      <c r="D11" s="10">
        <v>44666.5</v>
      </c>
      <c r="E11" s="12">
        <f t="shared" ref="E11:E38" si="0">D11-C11</f>
        <v>0.20486111110949423</v>
      </c>
      <c r="F11" s="13"/>
      <c r="G11" s="9" cm="1">
        <f t="array" ref="G11:K15">_xlfn._xlws.FILTER(_xlfn.ANCHORARRAY(G19),(I19:I29&gt;=G32)*(J19:J29&lt;=H32)*(K19:K29&gt;=G56)*(K19:K29&lt;=H56))</f>
        <v>1001</v>
      </c>
      <c r="H11" s="9" t="str">
        <v>Leonardo Almeida</v>
      </c>
      <c r="I11" s="10">
        <v>44666.295138888891</v>
      </c>
      <c r="J11" s="10">
        <v>44666.5</v>
      </c>
      <c r="K11" s="12">
        <v>0.20486111110949423</v>
      </c>
    </row>
    <row r="12" spans="1:11" x14ac:dyDescent="0.35">
      <c r="A12" s="9">
        <v>1002</v>
      </c>
      <c r="B12" s="9" t="s">
        <v>7</v>
      </c>
      <c r="C12" s="10">
        <v>44666.05</v>
      </c>
      <c r="D12" s="10">
        <v>44666.452800925923</v>
      </c>
      <c r="E12" s="12">
        <f t="shared" si="0"/>
        <v>0.40280092592001893</v>
      </c>
      <c r="G12" s="9">
        <v>1004</v>
      </c>
      <c r="H12" s="9" t="str">
        <v>Amanda Martins</v>
      </c>
      <c r="I12" s="10">
        <v>44667.347222222219</v>
      </c>
      <c r="J12" s="10">
        <v>44667.5</v>
      </c>
      <c r="K12" s="12">
        <v>0.15277777778101154</v>
      </c>
    </row>
    <row r="13" spans="1:11" x14ac:dyDescent="0.35">
      <c r="A13" s="9">
        <v>1003</v>
      </c>
      <c r="B13" s="9" t="s">
        <v>8</v>
      </c>
      <c r="C13" s="10">
        <v>44666.21875</v>
      </c>
      <c r="D13" s="10">
        <v>44666.5</v>
      </c>
      <c r="E13" s="12">
        <f t="shared" si="0"/>
        <v>0.28125</v>
      </c>
      <c r="G13" s="9">
        <v>1007</v>
      </c>
      <c r="H13" s="9" t="str">
        <v>Leonardo Almeida</v>
      </c>
      <c r="I13" s="10">
        <v>44668.54583333333</v>
      </c>
      <c r="J13" s="10">
        <v>44668.740972222222</v>
      </c>
      <c r="K13" s="12">
        <v>0.19513888889196096</v>
      </c>
    </row>
    <row r="14" spans="1:11" x14ac:dyDescent="0.35">
      <c r="A14" s="9">
        <v>1004</v>
      </c>
      <c r="B14" s="9" t="s">
        <v>9</v>
      </c>
      <c r="C14" s="10">
        <v>44667.347222222219</v>
      </c>
      <c r="D14" s="10">
        <v>44667.5</v>
      </c>
      <c r="E14" s="12">
        <f t="shared" si="0"/>
        <v>0.15277777778101154</v>
      </c>
      <c r="G14" s="9">
        <v>1010</v>
      </c>
      <c r="H14" s="9" t="str">
        <v>Amanda Martins</v>
      </c>
      <c r="I14" s="10">
        <v>44668.263194444444</v>
      </c>
      <c r="J14" s="10">
        <v>44668.426388888889</v>
      </c>
      <c r="K14" s="12">
        <v>0.16319444444525288</v>
      </c>
    </row>
    <row r="15" spans="1:11" ht="15.75" customHeight="1" x14ac:dyDescent="0.35">
      <c r="A15" s="9">
        <v>1005</v>
      </c>
      <c r="B15" s="9" t="s">
        <v>10</v>
      </c>
      <c r="C15" s="10">
        <v>44667.231249999997</v>
      </c>
      <c r="D15" s="10">
        <v>44667.254861111112</v>
      </c>
      <c r="E15" s="12">
        <f t="shared" si="0"/>
        <v>2.3611111115314998E-2</v>
      </c>
      <c r="G15" s="9">
        <v>1016</v>
      </c>
      <c r="H15" s="9" t="str">
        <v>Angela Maria</v>
      </c>
      <c r="I15" s="10">
        <v>44669.408333333333</v>
      </c>
      <c r="J15" s="10">
        <v>44669.55972222222</v>
      </c>
      <c r="K15" s="12">
        <v>0.15138888888759539</v>
      </c>
    </row>
    <row r="16" spans="1:11" x14ac:dyDescent="0.35">
      <c r="A16" s="9">
        <v>1006</v>
      </c>
      <c r="B16" s="9" t="s">
        <v>11</v>
      </c>
      <c r="C16" s="10">
        <v>44667.543749999997</v>
      </c>
      <c r="D16" s="10">
        <v>44667.702777777777</v>
      </c>
      <c r="E16" s="12">
        <f t="shared" si="0"/>
        <v>0.15902777777955635</v>
      </c>
    </row>
    <row r="17" spans="1:11" x14ac:dyDescent="0.35">
      <c r="A17" s="9">
        <v>1007</v>
      </c>
      <c r="B17" s="9" t="s">
        <v>6</v>
      </c>
      <c r="C17" s="10">
        <v>44668.54583333333</v>
      </c>
      <c r="D17" s="10">
        <v>44668.740972222222</v>
      </c>
      <c r="E17" s="12">
        <f t="shared" si="0"/>
        <v>0.19513888889196096</v>
      </c>
      <c r="G17" s="9" t="s">
        <v>6</v>
      </c>
      <c r="H17" s="9" t="s">
        <v>9</v>
      </c>
      <c r="I17" s="9" t="s">
        <v>12</v>
      </c>
    </row>
    <row r="18" spans="1:11" x14ac:dyDescent="0.35">
      <c r="A18" s="9">
        <v>1008</v>
      </c>
      <c r="B18" s="9" t="s">
        <v>7</v>
      </c>
      <c r="C18" s="10">
        <v>44668.256944444445</v>
      </c>
      <c r="D18" s="10">
        <v>44668.414583333331</v>
      </c>
      <c r="E18" s="12">
        <f t="shared" si="0"/>
        <v>0.15763888888614019</v>
      </c>
      <c r="G18" s="6" t="s">
        <v>5</v>
      </c>
      <c r="H18" s="6" t="s">
        <v>14</v>
      </c>
      <c r="I18" s="7" t="s">
        <v>2</v>
      </c>
      <c r="J18" s="7" t="s">
        <v>3</v>
      </c>
      <c r="K18" s="8" t="s">
        <v>4</v>
      </c>
    </row>
    <row r="19" spans="1:11" x14ac:dyDescent="0.35">
      <c r="A19" s="9">
        <v>1009</v>
      </c>
      <c r="B19" s="9" t="s">
        <v>8</v>
      </c>
      <c r="C19" s="10">
        <v>44668.261805555558</v>
      </c>
      <c r="D19" s="10">
        <v>44668.294444444444</v>
      </c>
      <c r="E19" s="12">
        <f t="shared" si="0"/>
        <v>3.2638888886140194E-2</v>
      </c>
      <c r="G19" s="9" cm="1">
        <f t="array" ref="G19:K29">_xlfn._xlws.FILTER(A11:E38,(B11:B38=G17)+(B11:B38=H17)+(B11:B38=I17))</f>
        <v>1001</v>
      </c>
      <c r="H19" s="9" t="str">
        <v>Leonardo Almeida</v>
      </c>
      <c r="I19" s="10">
        <v>44666.295138888891</v>
      </c>
      <c r="J19" s="10">
        <v>44666.5</v>
      </c>
      <c r="K19" s="12">
        <v>0.20486111110949423</v>
      </c>
    </row>
    <row r="20" spans="1:11" x14ac:dyDescent="0.35">
      <c r="A20" s="9">
        <v>1010</v>
      </c>
      <c r="B20" s="9" t="s">
        <v>9</v>
      </c>
      <c r="C20" s="10">
        <v>44668.263194444444</v>
      </c>
      <c r="D20" s="10">
        <v>44668.426388888889</v>
      </c>
      <c r="E20" s="12">
        <f t="shared" si="0"/>
        <v>0.16319444444525288</v>
      </c>
      <c r="G20" s="9">
        <v>1004</v>
      </c>
      <c r="H20" s="9" t="str">
        <v>Amanda Martins</v>
      </c>
      <c r="I20" s="10">
        <v>44667.347222222219</v>
      </c>
      <c r="J20" s="10">
        <v>44667.5</v>
      </c>
      <c r="K20" s="12">
        <v>0.15277777778101154</v>
      </c>
    </row>
    <row r="21" spans="1:11" x14ac:dyDescent="0.35">
      <c r="A21" s="9">
        <v>1011</v>
      </c>
      <c r="B21" s="9" t="s">
        <v>6</v>
      </c>
      <c r="C21" s="10">
        <v>44668.263888888891</v>
      </c>
      <c r="D21" s="10">
        <v>44668.302777777775</v>
      </c>
      <c r="E21" s="12">
        <f t="shared" si="0"/>
        <v>3.8888888884685002E-2</v>
      </c>
      <c r="G21" s="9">
        <v>1007</v>
      </c>
      <c r="H21" s="9" t="str">
        <v>Leonardo Almeida</v>
      </c>
      <c r="I21" s="10">
        <v>44668.54583333333</v>
      </c>
      <c r="J21" s="10">
        <v>44668.740972222222</v>
      </c>
      <c r="K21" s="12">
        <v>0.19513888889196096</v>
      </c>
    </row>
    <row r="22" spans="1:11" x14ac:dyDescent="0.35">
      <c r="A22" s="9">
        <v>1012</v>
      </c>
      <c r="B22" s="9" t="s">
        <v>7</v>
      </c>
      <c r="C22" s="10">
        <v>44668.392361111109</v>
      </c>
      <c r="D22" s="10">
        <v>44668.50277777778</v>
      </c>
      <c r="E22" s="12">
        <f t="shared" si="0"/>
        <v>0.11041666667006211</v>
      </c>
      <c r="G22" s="9">
        <v>1010</v>
      </c>
      <c r="H22" s="9" t="str">
        <v>Amanda Martins</v>
      </c>
      <c r="I22" s="10">
        <v>44668.263194444444</v>
      </c>
      <c r="J22" s="10">
        <v>44668.426388888889</v>
      </c>
      <c r="K22" s="12">
        <v>0.16319444444525288</v>
      </c>
    </row>
    <row r="23" spans="1:11" x14ac:dyDescent="0.35">
      <c r="A23" s="9">
        <v>1013</v>
      </c>
      <c r="B23" s="9" t="s">
        <v>8</v>
      </c>
      <c r="C23" s="10">
        <v>44669.354687500003</v>
      </c>
      <c r="D23" s="10">
        <v>44669.512499999997</v>
      </c>
      <c r="E23" s="12">
        <f t="shared" si="0"/>
        <v>0.15781249999417923</v>
      </c>
      <c r="G23" s="9">
        <v>1011</v>
      </c>
      <c r="H23" s="9" t="str">
        <v>Leonardo Almeida</v>
      </c>
      <c r="I23" s="10">
        <v>44668.263888888891</v>
      </c>
      <c r="J23" s="10">
        <v>44668.302777777775</v>
      </c>
      <c r="K23" s="12">
        <v>3.8888888884685002E-2</v>
      </c>
    </row>
    <row r="24" spans="1:11" x14ac:dyDescent="0.35">
      <c r="A24" s="9">
        <v>1014</v>
      </c>
      <c r="B24" s="9" t="s">
        <v>9</v>
      </c>
      <c r="C24" s="10">
        <v>44669.400694444441</v>
      </c>
      <c r="D24" s="10">
        <v>44669.722222222219</v>
      </c>
      <c r="E24" s="12">
        <f t="shared" si="0"/>
        <v>0.32152777777810115</v>
      </c>
      <c r="G24" s="9">
        <v>1014</v>
      </c>
      <c r="H24" s="9" t="str">
        <v>Amanda Martins</v>
      </c>
      <c r="I24" s="10">
        <v>44669.400694444441</v>
      </c>
      <c r="J24" s="10">
        <v>44669.722222222219</v>
      </c>
      <c r="K24" s="12">
        <v>0.32152777777810115</v>
      </c>
    </row>
    <row r="25" spans="1:11" x14ac:dyDescent="0.35">
      <c r="A25" s="9">
        <v>1015</v>
      </c>
      <c r="B25" s="9" t="s">
        <v>7</v>
      </c>
      <c r="C25" s="10">
        <v>44669.28125</v>
      </c>
      <c r="D25" s="10">
        <v>44669.4375</v>
      </c>
      <c r="E25" s="12">
        <f t="shared" si="0"/>
        <v>0.15625</v>
      </c>
      <c r="G25" s="9">
        <v>1016</v>
      </c>
      <c r="H25" s="9" t="str">
        <v>Angela Maria</v>
      </c>
      <c r="I25" s="10">
        <v>44669.408333333333</v>
      </c>
      <c r="J25" s="10">
        <v>44669.55972222222</v>
      </c>
      <c r="K25" s="12">
        <v>0.15138888888759539</v>
      </c>
    </row>
    <row r="26" spans="1:11" x14ac:dyDescent="0.35">
      <c r="A26" s="9">
        <v>1016</v>
      </c>
      <c r="B26" s="9" t="s">
        <v>12</v>
      </c>
      <c r="C26" s="10">
        <v>44669.408333333333</v>
      </c>
      <c r="D26" s="10">
        <v>44669.55972222222</v>
      </c>
      <c r="E26" s="12">
        <f t="shared" si="0"/>
        <v>0.15138888888759539</v>
      </c>
      <c r="G26" s="9">
        <v>1020</v>
      </c>
      <c r="H26" s="9" t="str">
        <v>Leonardo Almeida</v>
      </c>
      <c r="I26" s="10">
        <v>44670.37777777778</v>
      </c>
      <c r="J26" s="10">
        <v>44670.743055555555</v>
      </c>
      <c r="K26" s="12">
        <v>0.36527777777519077</v>
      </c>
    </row>
    <row r="27" spans="1:11" x14ac:dyDescent="0.35">
      <c r="A27" s="9">
        <v>1017</v>
      </c>
      <c r="B27" s="9" t="s">
        <v>13</v>
      </c>
      <c r="C27" s="10">
        <v>44670.499305555553</v>
      </c>
      <c r="D27" s="10">
        <v>44670.738888888889</v>
      </c>
      <c r="E27" s="12">
        <f t="shared" si="0"/>
        <v>0.23958333333575865</v>
      </c>
      <c r="G27" s="9">
        <v>1022</v>
      </c>
      <c r="H27" s="9" t="str">
        <v>Leonardo Almeida</v>
      </c>
      <c r="I27" s="10">
        <v>44671.383333333331</v>
      </c>
      <c r="J27" s="10">
        <v>44671.633333333331</v>
      </c>
      <c r="K27" s="12">
        <v>0.25</v>
      </c>
    </row>
    <row r="28" spans="1:11" x14ac:dyDescent="0.35">
      <c r="A28" s="9">
        <v>1018</v>
      </c>
      <c r="B28" s="9" t="s">
        <v>7</v>
      </c>
      <c r="C28" s="10">
        <v>44670.377083333333</v>
      </c>
      <c r="D28" s="10">
        <v>44670.574999999997</v>
      </c>
      <c r="E28" s="12">
        <f t="shared" si="0"/>
        <v>0.19791666666424135</v>
      </c>
      <c r="G28" s="9">
        <v>1025</v>
      </c>
      <c r="H28" s="9" t="str">
        <v>Amanda Martins</v>
      </c>
      <c r="I28" s="10">
        <v>44672.305555555555</v>
      </c>
      <c r="J28" s="10">
        <v>44672.493055555555</v>
      </c>
      <c r="K28" s="12">
        <v>0.1875</v>
      </c>
    </row>
    <row r="29" spans="1:11" x14ac:dyDescent="0.35">
      <c r="A29" s="9">
        <v>1019</v>
      </c>
      <c r="B29" s="9" t="s">
        <v>8</v>
      </c>
      <c r="C29" s="10">
        <v>44670.361805555556</v>
      </c>
      <c r="D29" s="10">
        <v>44670.493055555555</v>
      </c>
      <c r="E29" s="12">
        <f t="shared" si="0"/>
        <v>0.13124999999854481</v>
      </c>
      <c r="G29" s="9">
        <v>1028</v>
      </c>
      <c r="H29" s="9" t="str">
        <v>Amanda Martins</v>
      </c>
      <c r="I29" s="10">
        <v>44673.3125</v>
      </c>
      <c r="J29" s="10">
        <v>44673.890277777777</v>
      </c>
      <c r="K29" s="12">
        <v>0.57777777777664596</v>
      </c>
    </row>
    <row r="30" spans="1:11" x14ac:dyDescent="0.35">
      <c r="A30" s="9">
        <v>1020</v>
      </c>
      <c r="B30" s="9" t="s">
        <v>6</v>
      </c>
      <c r="C30" s="10">
        <v>44670.37777777778</v>
      </c>
      <c r="D30" s="10">
        <v>44670.743055555555</v>
      </c>
      <c r="E30" s="12">
        <f t="shared" si="0"/>
        <v>0.36527777777519077</v>
      </c>
    </row>
    <row r="31" spans="1:11" x14ac:dyDescent="0.35">
      <c r="A31" s="9">
        <v>1021</v>
      </c>
      <c r="B31" s="9" t="s">
        <v>11</v>
      </c>
      <c r="C31" s="10">
        <v>44671.337500000001</v>
      </c>
      <c r="D31" s="10">
        <v>44671.913194444445</v>
      </c>
      <c r="E31" s="12">
        <f t="shared" si="0"/>
        <v>0.57569444444379769</v>
      </c>
    </row>
    <row r="32" spans="1:11" x14ac:dyDescent="0.35">
      <c r="A32" s="9">
        <v>1022</v>
      </c>
      <c r="B32" s="9" t="s">
        <v>6</v>
      </c>
      <c r="C32" s="10">
        <v>44671.383333333331</v>
      </c>
      <c r="D32" s="10">
        <v>44671.633333333331</v>
      </c>
      <c r="E32" s="12">
        <f t="shared" si="0"/>
        <v>0.25</v>
      </c>
      <c r="G32" s="10">
        <v>44666</v>
      </c>
      <c r="H32" s="10">
        <v>44670.999988425923</v>
      </c>
    </row>
    <row r="33" spans="1:11" x14ac:dyDescent="0.35">
      <c r="A33" s="9">
        <v>1023</v>
      </c>
      <c r="B33" s="9" t="s">
        <v>7</v>
      </c>
      <c r="C33" s="10">
        <v>44671.341666666667</v>
      </c>
      <c r="D33" s="10">
        <v>44671.513888888891</v>
      </c>
      <c r="E33" s="12">
        <f t="shared" si="0"/>
        <v>0.17222222222335404</v>
      </c>
      <c r="G33" s="6" t="s">
        <v>5</v>
      </c>
      <c r="H33" s="6" t="s">
        <v>14</v>
      </c>
      <c r="I33" s="7" t="s">
        <v>2</v>
      </c>
      <c r="J33" s="7" t="s">
        <v>3</v>
      </c>
      <c r="K33" s="8" t="s">
        <v>4</v>
      </c>
    </row>
    <row r="34" spans="1:11" x14ac:dyDescent="0.35">
      <c r="A34" s="9">
        <v>1024</v>
      </c>
      <c r="B34" s="9" t="s">
        <v>8</v>
      </c>
      <c r="C34" s="10">
        <v>44672.306250000001</v>
      </c>
      <c r="D34" s="10">
        <v>44672.331250000003</v>
      </c>
      <c r="E34" s="12">
        <f t="shared" si="0"/>
        <v>2.5000000001455192E-2</v>
      </c>
      <c r="G34" s="9" cm="1">
        <f t="array" ref="G34:K53">_xlfn._xlws.FILTER(A11:E38,(C11:C38&gt;=G32)*(D11:D38&lt;=H32))</f>
        <v>1001</v>
      </c>
      <c r="H34" s="9" t="str">
        <v>Leonardo Almeida</v>
      </c>
      <c r="I34" s="10">
        <v>44666.295138888891</v>
      </c>
      <c r="J34" s="10">
        <v>44666.5</v>
      </c>
      <c r="K34" s="12">
        <v>0.20486111110949423</v>
      </c>
    </row>
    <row r="35" spans="1:11" x14ac:dyDescent="0.35">
      <c r="A35" s="9">
        <v>1025</v>
      </c>
      <c r="B35" s="9" t="s">
        <v>9</v>
      </c>
      <c r="C35" s="10">
        <v>44672.305555555555</v>
      </c>
      <c r="D35" s="10">
        <v>44672.493055555555</v>
      </c>
      <c r="E35" s="12">
        <f t="shared" si="0"/>
        <v>0.1875</v>
      </c>
      <c r="G35" s="9">
        <v>1002</v>
      </c>
      <c r="H35" s="9" t="str">
        <v>Eliane Moreira</v>
      </c>
      <c r="I35" s="10">
        <v>44666.05</v>
      </c>
      <c r="J35" s="10">
        <v>44666.452800925923</v>
      </c>
      <c r="K35" s="12">
        <v>0.40280092592001893</v>
      </c>
    </row>
    <row r="36" spans="1:11" x14ac:dyDescent="0.35">
      <c r="A36" s="9">
        <v>1026</v>
      </c>
      <c r="B36" s="9" t="s">
        <v>7</v>
      </c>
      <c r="C36" s="10">
        <v>44672.308333333334</v>
      </c>
      <c r="D36" s="10">
        <v>44672.509722222225</v>
      </c>
      <c r="E36" s="12">
        <f t="shared" si="0"/>
        <v>0.20138888889050577</v>
      </c>
      <c r="G36" s="9">
        <v>1003</v>
      </c>
      <c r="H36" s="9" t="str">
        <v>Nicolas Pereira</v>
      </c>
      <c r="I36" s="10">
        <v>44666.21875</v>
      </c>
      <c r="J36" s="10">
        <v>44666.5</v>
      </c>
      <c r="K36" s="12">
        <v>0.28125</v>
      </c>
    </row>
    <row r="37" spans="1:11" x14ac:dyDescent="0.35">
      <c r="A37" s="9">
        <v>1027</v>
      </c>
      <c r="B37" s="9" t="s">
        <v>8</v>
      </c>
      <c r="C37" s="10">
        <v>44672.310416666667</v>
      </c>
      <c r="D37" s="10">
        <v>44672.791666666664</v>
      </c>
      <c r="E37" s="12">
        <f t="shared" si="0"/>
        <v>0.48124999999708962</v>
      </c>
      <c r="G37" s="9">
        <v>1004</v>
      </c>
      <c r="H37" s="9" t="str">
        <v>Amanda Martins</v>
      </c>
      <c r="I37" s="10">
        <v>44667.347222222219</v>
      </c>
      <c r="J37" s="10">
        <v>44667.5</v>
      </c>
      <c r="K37" s="12">
        <v>0.15277777778101154</v>
      </c>
    </row>
    <row r="38" spans="1:11" x14ac:dyDescent="0.35">
      <c r="A38" s="9">
        <v>1028</v>
      </c>
      <c r="B38" s="9" t="s">
        <v>9</v>
      </c>
      <c r="C38" s="10">
        <v>44673.3125</v>
      </c>
      <c r="D38" s="10">
        <v>44673.890277777777</v>
      </c>
      <c r="E38" s="12">
        <f t="shared" si="0"/>
        <v>0.57777777777664596</v>
      </c>
      <c r="G38" s="9">
        <v>1005</v>
      </c>
      <c r="H38" s="9" t="str">
        <v>Paulo Santos</v>
      </c>
      <c r="I38" s="10">
        <v>44667.231249999997</v>
      </c>
      <c r="J38" s="10">
        <v>44667.254861111112</v>
      </c>
      <c r="K38" s="12">
        <v>2.3611111115314998E-2</v>
      </c>
    </row>
    <row r="39" spans="1:11" x14ac:dyDescent="0.35">
      <c r="G39" s="9">
        <v>1006</v>
      </c>
      <c r="H39" s="9" t="str">
        <v>Gabriel Cardoso</v>
      </c>
      <c r="I39" s="10">
        <v>44667.543749999997</v>
      </c>
      <c r="J39" s="10">
        <v>44667.702777777777</v>
      </c>
      <c r="K39" s="12">
        <v>0.15902777777955635</v>
      </c>
    </row>
    <row r="40" spans="1:11" x14ac:dyDescent="0.35">
      <c r="G40" s="9">
        <v>1007</v>
      </c>
      <c r="H40" s="9" t="str">
        <v>Leonardo Almeida</v>
      </c>
      <c r="I40" s="10">
        <v>44668.54583333333</v>
      </c>
      <c r="J40" s="10">
        <v>44668.740972222222</v>
      </c>
      <c r="K40" s="12">
        <v>0.19513888889196096</v>
      </c>
    </row>
    <row r="41" spans="1:11" x14ac:dyDescent="0.35">
      <c r="G41" s="9">
        <v>1008</v>
      </c>
      <c r="H41" s="9" t="str">
        <v>Eliane Moreira</v>
      </c>
      <c r="I41" s="10">
        <v>44668.256944444445</v>
      </c>
      <c r="J41" s="10">
        <v>44668.414583333331</v>
      </c>
      <c r="K41" s="12">
        <v>0.15763888888614019</v>
      </c>
    </row>
    <row r="42" spans="1:11" x14ac:dyDescent="0.35">
      <c r="G42" s="9">
        <v>1009</v>
      </c>
      <c r="H42" s="9" t="str">
        <v>Nicolas Pereira</v>
      </c>
      <c r="I42" s="10">
        <v>44668.261805555558</v>
      </c>
      <c r="J42" s="10">
        <v>44668.294444444444</v>
      </c>
      <c r="K42" s="12">
        <v>3.2638888886140194E-2</v>
      </c>
    </row>
    <row r="43" spans="1:11" x14ac:dyDescent="0.35">
      <c r="G43" s="9">
        <v>1010</v>
      </c>
      <c r="H43" s="9" t="str">
        <v>Amanda Martins</v>
      </c>
      <c r="I43" s="10">
        <v>44668.263194444444</v>
      </c>
      <c r="J43" s="10">
        <v>44668.426388888889</v>
      </c>
      <c r="K43" s="12">
        <v>0.16319444444525288</v>
      </c>
    </row>
    <row r="44" spans="1:11" x14ac:dyDescent="0.35">
      <c r="G44" s="9">
        <v>1011</v>
      </c>
      <c r="H44" s="9" t="str">
        <v>Leonardo Almeida</v>
      </c>
      <c r="I44" s="10">
        <v>44668.263888888891</v>
      </c>
      <c r="J44" s="10">
        <v>44668.302777777775</v>
      </c>
      <c r="K44" s="12">
        <v>3.8888888884685002E-2</v>
      </c>
    </row>
    <row r="45" spans="1:11" x14ac:dyDescent="0.35">
      <c r="G45" s="9">
        <v>1012</v>
      </c>
      <c r="H45" s="9" t="str">
        <v>Eliane Moreira</v>
      </c>
      <c r="I45" s="10">
        <v>44668.392361111109</v>
      </c>
      <c r="J45" s="10">
        <v>44668.50277777778</v>
      </c>
      <c r="K45" s="12">
        <v>0.11041666667006211</v>
      </c>
    </row>
    <row r="46" spans="1:11" x14ac:dyDescent="0.35">
      <c r="G46" s="9">
        <v>1013</v>
      </c>
      <c r="H46" s="9" t="str">
        <v>Nicolas Pereira</v>
      </c>
      <c r="I46" s="10">
        <v>44669.354687500003</v>
      </c>
      <c r="J46" s="10">
        <v>44669.512499999997</v>
      </c>
      <c r="K46" s="12">
        <v>0.15781249999417923</v>
      </c>
    </row>
    <row r="47" spans="1:11" x14ac:dyDescent="0.35">
      <c r="G47" s="9">
        <v>1014</v>
      </c>
      <c r="H47" s="9" t="str">
        <v>Amanda Martins</v>
      </c>
      <c r="I47" s="10">
        <v>44669.400694444441</v>
      </c>
      <c r="J47" s="10">
        <v>44669.722222222219</v>
      </c>
      <c r="K47" s="12">
        <v>0.32152777777810115</v>
      </c>
    </row>
    <row r="48" spans="1:11" x14ac:dyDescent="0.35">
      <c r="G48" s="9">
        <v>1015</v>
      </c>
      <c r="H48" s="9" t="str">
        <v>Eliane Moreira</v>
      </c>
      <c r="I48" s="10">
        <v>44669.28125</v>
      </c>
      <c r="J48" s="10">
        <v>44669.4375</v>
      </c>
      <c r="K48" s="12">
        <v>0.15625</v>
      </c>
    </row>
    <row r="49" spans="7:11" x14ac:dyDescent="0.35">
      <c r="G49" s="9">
        <v>1016</v>
      </c>
      <c r="H49" s="9" t="str">
        <v>Angela Maria</v>
      </c>
      <c r="I49" s="10">
        <v>44669.408333333333</v>
      </c>
      <c r="J49" s="10">
        <v>44669.55972222222</v>
      </c>
      <c r="K49" s="12">
        <v>0.15138888888759539</v>
      </c>
    </row>
    <row r="50" spans="7:11" x14ac:dyDescent="0.35">
      <c r="G50" s="9">
        <v>1017</v>
      </c>
      <c r="H50" s="9" t="str">
        <v>Carlos Moreira</v>
      </c>
      <c r="I50" s="10">
        <v>44670.499305555553</v>
      </c>
      <c r="J50" s="10">
        <v>44670.738888888889</v>
      </c>
      <c r="K50" s="12">
        <v>0.23958333333575865</v>
      </c>
    </row>
    <row r="51" spans="7:11" x14ac:dyDescent="0.35">
      <c r="G51" s="9">
        <v>1018</v>
      </c>
      <c r="H51" s="9" t="str">
        <v>Eliane Moreira</v>
      </c>
      <c r="I51" s="10">
        <v>44670.377083333333</v>
      </c>
      <c r="J51" s="10">
        <v>44670.574999999997</v>
      </c>
      <c r="K51" s="12">
        <v>0.19791666666424135</v>
      </c>
    </row>
    <row r="52" spans="7:11" x14ac:dyDescent="0.35">
      <c r="G52" s="9">
        <v>1019</v>
      </c>
      <c r="H52" s="9" t="str">
        <v>Nicolas Pereira</v>
      </c>
      <c r="I52" s="10">
        <v>44670.361805555556</v>
      </c>
      <c r="J52" s="10">
        <v>44670.493055555555</v>
      </c>
      <c r="K52" s="12">
        <v>0.13124999999854481</v>
      </c>
    </row>
    <row r="53" spans="7:11" x14ac:dyDescent="0.35">
      <c r="G53" s="9">
        <v>1020</v>
      </c>
      <c r="H53" s="9" t="str">
        <v>Leonardo Almeida</v>
      </c>
      <c r="I53" s="10">
        <v>44670.37777777778</v>
      </c>
      <c r="J53" s="10">
        <v>44670.743055555555</v>
      </c>
      <c r="K53" s="12">
        <v>0.36527777777519077</v>
      </c>
    </row>
    <row r="56" spans="7:11" x14ac:dyDescent="0.35">
      <c r="G56" s="12">
        <v>0.125</v>
      </c>
      <c r="H56" s="12">
        <v>0.20833333333333334</v>
      </c>
    </row>
    <row r="57" spans="7:11" x14ac:dyDescent="0.35">
      <c r="G57" s="6" t="s">
        <v>5</v>
      </c>
      <c r="H57" s="6" t="s">
        <v>14</v>
      </c>
      <c r="I57" s="7" t="s">
        <v>2</v>
      </c>
      <c r="J57" s="7" t="s">
        <v>3</v>
      </c>
      <c r="K57" s="8" t="s">
        <v>4</v>
      </c>
    </row>
    <row r="58" spans="7:11" x14ac:dyDescent="0.35">
      <c r="G58" s="9" cm="1">
        <f t="array" ref="G58:K71">_xlfn._xlws.FILTER(A11:E38,(E11:E38&gt;=G56)*(E11:E38&lt;=H56))</f>
        <v>1001</v>
      </c>
      <c r="H58" s="9" t="str">
        <v>Leonardo Almeida</v>
      </c>
      <c r="I58" s="10">
        <v>44666.295138888891</v>
      </c>
      <c r="J58" s="10">
        <v>44666.5</v>
      </c>
      <c r="K58" s="12">
        <v>0.20486111110949423</v>
      </c>
    </row>
    <row r="59" spans="7:11" x14ac:dyDescent="0.35">
      <c r="G59" s="9">
        <v>1004</v>
      </c>
      <c r="H59" s="9" t="str">
        <v>Amanda Martins</v>
      </c>
      <c r="I59" s="10">
        <v>44667.347222222219</v>
      </c>
      <c r="J59" s="10">
        <v>44667.5</v>
      </c>
      <c r="K59" s="12">
        <v>0.15277777778101154</v>
      </c>
    </row>
    <row r="60" spans="7:11" x14ac:dyDescent="0.35">
      <c r="G60" s="9">
        <v>1006</v>
      </c>
      <c r="H60" s="9" t="str">
        <v>Gabriel Cardoso</v>
      </c>
      <c r="I60" s="10">
        <v>44667.543749999997</v>
      </c>
      <c r="J60" s="10">
        <v>44667.702777777777</v>
      </c>
      <c r="K60" s="12">
        <v>0.15902777777955635</v>
      </c>
    </row>
    <row r="61" spans="7:11" x14ac:dyDescent="0.35">
      <c r="G61" s="9">
        <v>1007</v>
      </c>
      <c r="H61" s="9" t="str">
        <v>Leonardo Almeida</v>
      </c>
      <c r="I61" s="10">
        <v>44668.54583333333</v>
      </c>
      <c r="J61" s="10">
        <v>44668.740972222222</v>
      </c>
      <c r="K61" s="12">
        <v>0.19513888889196096</v>
      </c>
    </row>
    <row r="62" spans="7:11" x14ac:dyDescent="0.35">
      <c r="G62" s="9">
        <v>1008</v>
      </c>
      <c r="H62" s="9" t="str">
        <v>Eliane Moreira</v>
      </c>
      <c r="I62" s="10">
        <v>44668.256944444445</v>
      </c>
      <c r="J62" s="10">
        <v>44668.414583333331</v>
      </c>
      <c r="K62" s="12">
        <v>0.15763888888614019</v>
      </c>
    </row>
    <row r="63" spans="7:11" x14ac:dyDescent="0.35">
      <c r="G63" s="9">
        <v>1010</v>
      </c>
      <c r="H63" s="9" t="str">
        <v>Amanda Martins</v>
      </c>
      <c r="I63" s="10">
        <v>44668.263194444444</v>
      </c>
      <c r="J63" s="10">
        <v>44668.426388888889</v>
      </c>
      <c r="K63" s="12">
        <v>0.16319444444525288</v>
      </c>
    </row>
    <row r="64" spans="7:11" x14ac:dyDescent="0.35">
      <c r="G64" s="9">
        <v>1013</v>
      </c>
      <c r="H64" s="9" t="str">
        <v>Nicolas Pereira</v>
      </c>
      <c r="I64" s="10">
        <v>44669.354687500003</v>
      </c>
      <c r="J64" s="10">
        <v>44669.512499999997</v>
      </c>
      <c r="K64" s="12">
        <v>0.15781249999417923</v>
      </c>
    </row>
    <row r="65" spans="7:11" x14ac:dyDescent="0.35">
      <c r="G65" s="9">
        <v>1015</v>
      </c>
      <c r="H65" s="9" t="str">
        <v>Eliane Moreira</v>
      </c>
      <c r="I65" s="10">
        <v>44669.28125</v>
      </c>
      <c r="J65" s="10">
        <v>44669.4375</v>
      </c>
      <c r="K65" s="12">
        <v>0.15625</v>
      </c>
    </row>
    <row r="66" spans="7:11" x14ac:dyDescent="0.35">
      <c r="G66" s="9">
        <v>1016</v>
      </c>
      <c r="H66" s="9" t="str">
        <v>Angela Maria</v>
      </c>
      <c r="I66" s="10">
        <v>44669.408333333333</v>
      </c>
      <c r="J66" s="10">
        <v>44669.55972222222</v>
      </c>
      <c r="K66" s="12">
        <v>0.15138888888759539</v>
      </c>
    </row>
    <row r="67" spans="7:11" x14ac:dyDescent="0.35">
      <c r="G67" s="9">
        <v>1018</v>
      </c>
      <c r="H67" s="9" t="str">
        <v>Eliane Moreira</v>
      </c>
      <c r="I67" s="10">
        <v>44670.377083333333</v>
      </c>
      <c r="J67" s="10">
        <v>44670.574999999997</v>
      </c>
      <c r="K67" s="12">
        <v>0.19791666666424135</v>
      </c>
    </row>
    <row r="68" spans="7:11" x14ac:dyDescent="0.35">
      <c r="G68" s="9">
        <v>1019</v>
      </c>
      <c r="H68" s="9" t="str">
        <v>Nicolas Pereira</v>
      </c>
      <c r="I68" s="10">
        <v>44670.361805555556</v>
      </c>
      <c r="J68" s="10">
        <v>44670.493055555555</v>
      </c>
      <c r="K68" s="12">
        <v>0.13124999999854481</v>
      </c>
    </row>
    <row r="69" spans="7:11" x14ac:dyDescent="0.35">
      <c r="G69" s="9">
        <v>1023</v>
      </c>
      <c r="H69" s="9" t="str">
        <v>Eliane Moreira</v>
      </c>
      <c r="I69" s="10">
        <v>44671.341666666667</v>
      </c>
      <c r="J69" s="10">
        <v>44671.513888888891</v>
      </c>
      <c r="K69" s="12">
        <v>0.17222222222335404</v>
      </c>
    </row>
    <row r="70" spans="7:11" x14ac:dyDescent="0.35">
      <c r="G70" s="9">
        <v>1025</v>
      </c>
      <c r="H70" s="9" t="str">
        <v>Amanda Martins</v>
      </c>
      <c r="I70" s="10">
        <v>44672.305555555555</v>
      </c>
      <c r="J70" s="10">
        <v>44672.493055555555</v>
      </c>
      <c r="K70" s="12">
        <v>0.1875</v>
      </c>
    </row>
    <row r="71" spans="7:11" x14ac:dyDescent="0.35">
      <c r="G71" s="9">
        <v>1026</v>
      </c>
      <c r="H71" s="9" t="str">
        <v>Eliane Moreira</v>
      </c>
      <c r="I71" s="10">
        <v>44672.308333333334</v>
      </c>
      <c r="J71" s="10">
        <v>44672.509722222225</v>
      </c>
      <c r="K71" s="12">
        <v>0.20138888889050577</v>
      </c>
    </row>
  </sheetData>
  <mergeCells count="2">
    <mergeCell ref="B2:B4"/>
    <mergeCell ref="D2:K4"/>
  </mergeCells>
  <pageMargins left="0.511811024" right="0.511811024" top="0.78740157499999996" bottom="0.78740157499999996" header="0.31496062000000002" footer="0.31496062000000002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 9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2021-10-11T20:31:17Z</dcterms:created>
  <dcterms:modified xsi:type="dcterms:W3CDTF">2026-08-07T21:36:03Z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2026-08-07T21:26:38Z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24320431-1d50-4745-9420-efa0cca8f06d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
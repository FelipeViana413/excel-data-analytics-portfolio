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35" documentId="8_{FAD84084-285C-4EFF-8F8C-C8B55C552144}" xr6:coauthVersionLast="47" xr6:coauthVersionMax="47" xr10:uidLastSave="{541258C8-A75F-417B-AF05-C2AEC0C0A38E}"/>
  <bookViews>
    <workbookView xWindow="-110" yWindow="-110" windowWidth="19420" windowHeight="11500" activeTab="1" xr2:uid="{C162B555-F4AE-41AA-9236-C559E5C69857}"/>
  </bookViews>
  <sheets>
    <sheet name="Teste 1" sheetId="1" r:id="rId1"/>
    <sheet name="Dados" sheetId="2" r:id="rId2"/>
  </sheets>
  <definedNames>
    <definedName name="_xlnm._FilterDatabase" localSheetId="1" hidden="1">Dados!$H$1:$I$27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I17" i="2"/>
  <c r="I2" i="2"/>
  <c r="F2" i="2"/>
  <c r="F3" i="2"/>
  <c r="I3" i="2" s="1"/>
  <c r="F17" i="2"/>
  <c r="F8" i="2"/>
  <c r="I8" i="2" s="1"/>
  <c r="F4" i="2" l="1"/>
  <c r="I4" i="2" s="1"/>
  <c r="F23" i="2"/>
  <c r="I23" i="2" s="1"/>
  <c r="F26" i="2"/>
  <c r="I26" i="2" s="1"/>
  <c r="F25" i="2"/>
  <c r="I25" i="2" s="1"/>
  <c r="F24" i="2"/>
  <c r="I24" i="2" s="1"/>
  <c r="F22" i="2"/>
  <c r="I22" i="2" s="1"/>
  <c r="F21" i="2"/>
  <c r="I21" i="2" s="1"/>
  <c r="F20" i="2"/>
  <c r="I20" i="2" s="1"/>
  <c r="F19" i="2"/>
  <c r="I19" i="2" s="1"/>
  <c r="F18" i="2"/>
  <c r="I18" i="2" s="1"/>
  <c r="F16" i="2"/>
  <c r="I16" i="2" s="1"/>
  <c r="F15" i="2"/>
  <c r="I15" i="2" s="1"/>
  <c r="F14" i="2"/>
  <c r="I14" i="2" s="1"/>
  <c r="F13" i="2"/>
  <c r="I13" i="2" s="1"/>
  <c r="F12" i="2"/>
  <c r="I12" i="2" s="1"/>
  <c r="F11" i="2"/>
  <c r="I11" i="2" s="1"/>
  <c r="F10" i="2"/>
  <c r="I10" i="2" s="1"/>
  <c r="F9" i="2"/>
  <c r="I9" i="2" s="1"/>
  <c r="F7" i="2"/>
  <c r="I7" i="2" s="1"/>
  <c r="F6" i="2"/>
  <c r="I6" i="2" s="1"/>
  <c r="F5" i="2"/>
  <c r="I5" i="2" s="1"/>
  <c r="F27" i="2"/>
  <c r="I27" i="2" s="1"/>
</calcChain>
</file>

<file path=xl/sharedStrings.xml><?xml version="1.0" encoding="utf-8"?>
<sst xmlns="http://schemas.openxmlformats.org/spreadsheetml/2006/main" count="45" uniqueCount="38">
  <si>
    <t>Mês</t>
  </si>
  <si>
    <t>Código Produto</t>
  </si>
  <si>
    <t>&gt;&gt;</t>
  </si>
  <si>
    <t>Qtd</t>
  </si>
  <si>
    <t>Preço</t>
  </si>
  <si>
    <t>Produto</t>
  </si>
  <si>
    <t>Panela De Pressão</t>
  </si>
  <si>
    <t>Total Vendas</t>
  </si>
  <si>
    <t>Kit 15 Tangas</t>
  </si>
  <si>
    <t>Xiaomi Redmi 9 (Global)</t>
  </si>
  <si>
    <t>Terno Slim</t>
  </si>
  <si>
    <t>Kit Bomba A Vácuo Para Vinho</t>
  </si>
  <si>
    <t>Kit 120 Tangas</t>
  </si>
  <si>
    <t>Panela De Pressão 4,5litros</t>
  </si>
  <si>
    <t>Kit De Acessórios Para Banheiro</t>
  </si>
  <si>
    <t>Colchão Casal de espuma</t>
  </si>
  <si>
    <t>Moedor De Cafe Manual</t>
  </si>
  <si>
    <t>LG K22 Dual SIM 32 GB</t>
  </si>
  <si>
    <t>Spray Borrifador Pulverizador</t>
  </si>
  <si>
    <t>Camiseta Regata</t>
  </si>
  <si>
    <t>Headset gamer Knup KP-400</t>
  </si>
  <si>
    <t>Cobertor Manta Casal</t>
  </si>
  <si>
    <t>Calça Jeans Feminina</t>
  </si>
  <si>
    <t>Cafeteira Aluminio Extra</t>
  </si>
  <si>
    <t xml:space="preserve">Corset Corselet Underbust </t>
  </si>
  <si>
    <t>Botas Feminina Montaria</t>
  </si>
  <si>
    <t>Camiseta Cinta Modeladora</t>
  </si>
  <si>
    <t>Terno Slim Microfibra</t>
  </si>
  <si>
    <t>Caixa de ferramentas Fercar</t>
  </si>
  <si>
    <t>Destaque os registros que tiverem mais que 20 unidades vendidas no mês, com preenchimento azul escuro e cor da fonte branco (a cor deve ficar automatica)</t>
  </si>
  <si>
    <t>Consolide em apenas 1 coluna, as informações de Código Produto, Produto, Mês, Qtd,  Preço, e Total de Vendas, separando apenas por um ponto e virgula (;)</t>
  </si>
  <si>
    <t>Crie uma fórmula que identifique se o Código Produto (Coluna A) possui alguma duplicidade ou não</t>
  </si>
  <si>
    <r>
      <t>Vá na Aba de "</t>
    </r>
    <r>
      <rPr>
        <sz val="20"/>
        <rFont val="Calibri"/>
        <family val="2"/>
        <scheme val="minor"/>
      </rPr>
      <t>Dados</t>
    </r>
    <r>
      <rPr>
        <sz val="20"/>
        <color rgb="FF0070C0"/>
        <rFont val="Calibri"/>
        <family val="2"/>
        <scheme val="minor"/>
      </rPr>
      <t>" e aplique um filtro, logo em seguida, classique os dados na ordem Crescente da coluna de Código e Decrecente da coluna de Mês.</t>
    </r>
  </si>
  <si>
    <t>Curso de Excel do Básico ao Avançado</t>
  </si>
  <si>
    <t>Professor:</t>
  </si>
  <si>
    <t xml:space="preserve">     Clevison Santos</t>
  </si>
  <si>
    <t>PERGUNTAS DE ENTREVISTAS E TESTES DE EXCEL</t>
  </si>
  <si>
    <t>Duplicidade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</si>
</sst>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dd\-mmm\-yy;@"/>
  </numFmts>
  <fonts count="1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8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right" wrapText="1"/>
    </xf>
    <xf numFmtId="1" fontId="2" fillId="0" borderId="2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44" fontId="1" fillId="3" borderId="1" xfId="1" applyFont="1" applyFill="1" applyBorder="1" applyAlignment="1">
      <alignment horizontal="right" vertical="center"/>
    </xf>
    <xf numFmtId="44" fontId="2" fillId="0" borderId="2" xfId="1" applyFont="1" applyBorder="1" applyAlignment="1">
      <alignment horizontal="right" wrapText="1"/>
    </xf>
    <xf numFmtId="44" fontId="0" fillId="0" borderId="0" xfId="1" applyFont="1" applyAlignment="1">
      <alignment horizontal="right"/>
    </xf>
    <xf numFmtId="6" fontId="2" fillId="0" borderId="2" xfId="1" applyNumberFormat="1" applyFont="1" applyBorder="1" applyAlignment="1">
      <alignment horizontal="right"/>
    </xf>
    <xf numFmtId="8" fontId="2" fillId="0" borderId="2" xfId="1" applyNumberFormat="1" applyFont="1" applyBorder="1" applyAlignment="1">
      <alignment horizontal="right"/>
    </xf>
    <xf numFmtId="8" fontId="2" fillId="0" borderId="2" xfId="1" applyNumberFormat="1" applyFont="1" applyBorder="1" applyAlignment="1">
      <alignment horizontal="right" wrapText="1"/>
    </xf>
    <xf numFmtId="0" fontId="0" fillId="5" borderId="0" xfId="0" applyFill="1"/>
    <xf numFmtId="0" fontId="10" fillId="5" borderId="0" xfId="0" applyFont="1" applyFill="1"/>
    <xf numFmtId="0" fontId="11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9" fillId="5" borderId="0" xfId="0" applyFont="1" applyFill="1" applyAlignment="1">
      <alignment horizontal="right"/>
    </xf>
    <xf numFmtId="0" fontId="12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44" fontId="2" fillId="0" borderId="0" xfId="1" applyFont="1" applyBorder="1" applyAlignment="1">
      <alignment horizontal="right" wrapText="1"/>
    </xf>
  </cellXfs>
  <cellStyles count="2">
    <cellStyle name="Moeda" xfId="1" builtinId="4"/>
    <cellStyle name="Normal" xfId="0" builtinId="0"/>
  </cellStyles>
  <dxfs count="1">
    <dxf>
      <font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S34"/>
  <sheetViews>
    <sheetView topLeftCell="A19" workbookViewId="0">
      <selection activeCell="D29" sqref="D29:D31"/>
    </sheetView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3.08984375" style="1" customWidth="1"/>
    <col min="4" max="4" width="113.6328125" style="1" customWidth="1"/>
    <col min="5" max="16384" width="9.1796875" style="1"/>
  </cols>
  <sheetData>
    <row r="1" spans="2:14" s="21" customFormat="1" x14ac:dyDescent="0.35"/>
    <row r="2" spans="2:14" s="21" customFormat="1" ht="15.65" customHeight="1" x14ac:dyDescent="0.35">
      <c r="B2" s="24" t="s">
        <v>33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2:14" s="21" customFormat="1" ht="14.4" customHeight="1" x14ac:dyDescent="0.35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2:14" s="21" customFormat="1" ht="14.4" customHeight="1" x14ac:dyDescent="0.35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2:14" s="21" customFormat="1" ht="23.5" x14ac:dyDescent="0.55000000000000004">
      <c r="B5" s="25" t="s">
        <v>34</v>
      </c>
      <c r="C5" s="25"/>
      <c r="D5" s="22" t="s">
        <v>35</v>
      </c>
    </row>
    <row r="6" spans="2:14" s="21" customFormat="1" x14ac:dyDescent="0.35"/>
    <row r="7" spans="2:14" ht="15" customHeight="1" x14ac:dyDescent="0.35"/>
    <row r="8" spans="2:14" ht="15" customHeight="1" x14ac:dyDescent="0.35"/>
    <row r="9" spans="2:14" x14ac:dyDescent="0.35">
      <c r="D9" s="26" t="s">
        <v>36</v>
      </c>
      <c r="E9" s="26"/>
      <c r="F9" s="26"/>
      <c r="G9" s="26"/>
    </row>
    <row r="10" spans="2:14" x14ac:dyDescent="0.35">
      <c r="D10" s="26"/>
      <c r="E10" s="26"/>
      <c r="F10" s="26"/>
      <c r="G10" s="26"/>
    </row>
    <row r="11" spans="2:14" ht="26" x14ac:dyDescent="0.35">
      <c r="D11" s="23"/>
      <c r="E11" s="23"/>
      <c r="F11" s="23"/>
      <c r="G11" s="23"/>
    </row>
    <row r="12" spans="2:14" ht="26" x14ac:dyDescent="0.35">
      <c r="D12" s="23"/>
      <c r="E12" s="23"/>
      <c r="F12" s="23"/>
      <c r="G12" s="23"/>
    </row>
    <row r="14" spans="2:14" ht="54" customHeight="1" x14ac:dyDescent="0.35">
      <c r="B14" s="27" t="s">
        <v>2</v>
      </c>
      <c r="C14" s="11"/>
      <c r="D14" s="28" t="s">
        <v>32</v>
      </c>
    </row>
    <row r="15" spans="2:14" ht="14.5" customHeight="1" x14ac:dyDescent="0.35">
      <c r="B15" s="27"/>
      <c r="C15" s="11"/>
      <c r="D15" s="28"/>
    </row>
    <row r="16" spans="2:14" ht="14.5" customHeight="1" x14ac:dyDescent="0.35">
      <c r="B16" s="27"/>
      <c r="C16" s="11"/>
      <c r="D16" s="28"/>
    </row>
    <row r="19" spans="2:4" ht="54" customHeight="1" x14ac:dyDescent="0.35">
      <c r="B19" s="27" t="s">
        <v>2</v>
      </c>
      <c r="C19" s="11"/>
      <c r="D19" s="28" t="s">
        <v>29</v>
      </c>
    </row>
    <row r="20" spans="2:4" ht="14.5" customHeight="1" x14ac:dyDescent="0.35">
      <c r="B20" s="27"/>
      <c r="C20" s="11"/>
      <c r="D20" s="28"/>
    </row>
    <row r="21" spans="2:4" ht="14.5" customHeight="1" x14ac:dyDescent="0.35">
      <c r="B21" s="27"/>
      <c r="C21" s="11"/>
      <c r="D21" s="28"/>
    </row>
    <row r="24" spans="2:4" ht="54" customHeight="1" x14ac:dyDescent="0.35">
      <c r="B24" s="27" t="s">
        <v>2</v>
      </c>
      <c r="C24" s="11"/>
      <c r="D24" s="28" t="s">
        <v>30</v>
      </c>
    </row>
    <row r="25" spans="2:4" ht="14.5" customHeight="1" x14ac:dyDescent="0.35">
      <c r="B25" s="27"/>
      <c r="C25" s="11"/>
      <c r="D25" s="28"/>
    </row>
    <row r="26" spans="2:4" ht="14.5" customHeight="1" x14ac:dyDescent="0.35">
      <c r="B26" s="27"/>
      <c r="C26" s="11"/>
      <c r="D26" s="28"/>
    </row>
    <row r="29" spans="2:4" ht="54" customHeight="1" x14ac:dyDescent="0.35">
      <c r="B29" s="27" t="s">
        <v>2</v>
      </c>
      <c r="C29" s="11"/>
      <c r="D29" s="28" t="s">
        <v>31</v>
      </c>
    </row>
    <row r="30" spans="2:4" ht="14.5" customHeight="1" x14ac:dyDescent="0.35">
      <c r="B30" s="27"/>
      <c r="C30" s="11"/>
      <c r="D30" s="28"/>
    </row>
    <row r="31" spans="2:4" ht="14.5" customHeight="1" x14ac:dyDescent="0.35">
      <c r="B31" s="27"/>
      <c r="C31" s="11"/>
      <c r="D31" s="28"/>
    </row>
    <row r="33" spans="2:19" x14ac:dyDescent="0.35">
      <c r="B33" s="2"/>
      <c r="C33" s="2"/>
      <c r="D33" s="3"/>
    </row>
    <row r="34" spans="2:19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</sheetData>
  <mergeCells count="11">
    <mergeCell ref="B2:N4"/>
    <mergeCell ref="B5:C5"/>
    <mergeCell ref="D9:G10"/>
    <mergeCell ref="B29:B31"/>
    <mergeCell ref="D29:D31"/>
    <mergeCell ref="D14:D16"/>
    <mergeCell ref="B14:B16"/>
    <mergeCell ref="B19:B21"/>
    <mergeCell ref="D19:D21"/>
    <mergeCell ref="B24:B26"/>
    <mergeCell ref="D24:D26"/>
  </mergeCell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DA64-81E5-417C-A4C2-C6C6DCE2E574}">
  <dimension ref="A1:I27"/>
  <sheetViews>
    <sheetView tabSelected="1" workbookViewId="0">
      <selection activeCell="H4" sqref="H4"/>
    </sheetView>
  </sheetViews>
  <sheetFormatPr defaultRowHeight="14.5" x14ac:dyDescent="0.35"/>
  <cols>
    <col min="1" max="1" width="21.453125" style="7" customWidth="1"/>
    <col min="2" max="2" width="36.453125" style="7" customWidth="1"/>
    <col min="3" max="3" width="19.08984375" style="10" customWidth="1"/>
    <col min="4" max="4" width="19.08984375" style="14" customWidth="1"/>
    <col min="5" max="8" width="25.54296875" style="17" customWidth="1"/>
    <col min="9" max="9" width="8.08984375" bestFit="1" customWidth="1"/>
    <col min="10" max="10" width="6.81640625" bestFit="1" customWidth="1"/>
    <col min="11" max="11" width="7.1796875" bestFit="1" customWidth="1"/>
    <col min="12" max="12" width="6.54296875" bestFit="1" customWidth="1"/>
    <col min="13" max="13" width="6.81640625" bestFit="1" customWidth="1"/>
    <col min="14" max="14" width="7.1796875" bestFit="1" customWidth="1"/>
    <col min="15" max="15" width="6.54296875" bestFit="1" customWidth="1"/>
    <col min="16" max="16" width="6.81640625" bestFit="1" customWidth="1"/>
    <col min="17" max="17" width="7.1796875" bestFit="1" customWidth="1"/>
    <col min="18" max="18" width="6.54296875" bestFit="1" customWidth="1"/>
    <col min="19" max="19" width="6.81640625" bestFit="1" customWidth="1"/>
    <col min="20" max="20" width="7.1796875" bestFit="1" customWidth="1"/>
    <col min="21" max="21" width="6.54296875" bestFit="1" customWidth="1"/>
    <col min="22" max="22" width="6.81640625" bestFit="1" customWidth="1"/>
    <col min="23" max="23" width="7.1796875" bestFit="1" customWidth="1"/>
    <col min="24" max="24" width="6.54296875" bestFit="1" customWidth="1"/>
    <col min="25" max="25" width="6.81640625" bestFit="1" customWidth="1"/>
    <col min="26" max="26" width="7.1796875" bestFit="1" customWidth="1"/>
    <col min="27" max="27" width="6.54296875" bestFit="1" customWidth="1"/>
    <col min="28" max="28" width="6.81640625" bestFit="1" customWidth="1"/>
    <col min="29" max="29" width="7.1796875" bestFit="1" customWidth="1"/>
    <col min="30" max="30" width="6.54296875" bestFit="1" customWidth="1"/>
    <col min="31" max="31" width="6.81640625" bestFit="1" customWidth="1"/>
    <col min="32" max="32" width="7.1796875" bestFit="1" customWidth="1"/>
    <col min="33" max="33" width="6.54296875" bestFit="1" customWidth="1"/>
    <col min="34" max="34" width="6.81640625" bestFit="1" customWidth="1"/>
    <col min="35" max="35" width="7.1796875" bestFit="1" customWidth="1"/>
    <col min="36" max="36" width="6.54296875" bestFit="1" customWidth="1"/>
    <col min="37" max="37" width="6.81640625" bestFit="1" customWidth="1"/>
    <col min="38" max="38" width="7.1796875" bestFit="1" customWidth="1"/>
    <col min="39" max="39" width="6.54296875" bestFit="1" customWidth="1"/>
    <col min="40" max="40" width="6.81640625" bestFit="1" customWidth="1"/>
    <col min="41" max="41" width="7.1796875" bestFit="1" customWidth="1"/>
    <col min="42" max="42" width="6.54296875" bestFit="1" customWidth="1"/>
    <col min="43" max="43" width="6.81640625" bestFit="1" customWidth="1"/>
    <col min="44" max="44" width="7.1796875" bestFit="1" customWidth="1"/>
    <col min="45" max="45" width="6.54296875" bestFit="1" customWidth="1"/>
    <col min="46" max="46" width="6.81640625" bestFit="1" customWidth="1"/>
    <col min="47" max="47" width="7.1796875" bestFit="1" customWidth="1"/>
    <col min="48" max="48" width="6.54296875" bestFit="1" customWidth="1"/>
    <col min="49" max="49" width="6.81640625" bestFit="1" customWidth="1"/>
    <col min="50" max="50" width="7.1796875" bestFit="1" customWidth="1"/>
    <col min="51" max="51" width="6.54296875" bestFit="1" customWidth="1"/>
    <col min="52" max="52" width="6.81640625" bestFit="1" customWidth="1"/>
    <col min="53" max="53" width="7.1796875" bestFit="1" customWidth="1"/>
    <col min="54" max="54" width="6.54296875" bestFit="1" customWidth="1"/>
    <col min="55" max="55" width="6.81640625" bestFit="1" customWidth="1"/>
    <col min="56" max="56" width="7.1796875" bestFit="1" customWidth="1"/>
    <col min="57" max="57" width="6.54296875" bestFit="1" customWidth="1"/>
    <col min="58" max="58" width="6.81640625" bestFit="1" customWidth="1"/>
    <col min="59" max="59" width="7.1796875" bestFit="1" customWidth="1"/>
    <col min="60" max="60" width="6.54296875" bestFit="1" customWidth="1"/>
    <col min="61" max="61" width="6.81640625" bestFit="1" customWidth="1"/>
    <col min="62" max="62" width="7.1796875" bestFit="1" customWidth="1"/>
    <col min="63" max="63" width="6.54296875" bestFit="1" customWidth="1"/>
    <col min="64" max="64" width="6.81640625" bestFit="1" customWidth="1"/>
    <col min="65" max="65" width="7.1796875" bestFit="1" customWidth="1"/>
    <col min="66" max="66" width="6.54296875" bestFit="1" customWidth="1"/>
    <col min="67" max="67" width="6.81640625" bestFit="1" customWidth="1"/>
    <col min="68" max="68" width="7.1796875" bestFit="1" customWidth="1"/>
    <col min="69" max="69" width="6.54296875" bestFit="1" customWidth="1"/>
    <col min="70" max="70" width="6.81640625" bestFit="1" customWidth="1"/>
    <col min="71" max="71" width="7.1796875" bestFit="1" customWidth="1"/>
    <col min="72" max="72" width="6.54296875" bestFit="1" customWidth="1"/>
    <col min="73" max="73" width="6.81640625" bestFit="1" customWidth="1"/>
    <col min="74" max="74" width="7.1796875" bestFit="1" customWidth="1"/>
    <col min="75" max="75" width="6.54296875" bestFit="1" customWidth="1"/>
    <col min="76" max="76" width="6.81640625" bestFit="1" customWidth="1"/>
    <col min="77" max="77" width="7.1796875" bestFit="1" customWidth="1"/>
    <col min="78" max="78" width="6.54296875" bestFit="1" customWidth="1"/>
    <col min="79" max="79" width="6.81640625" bestFit="1" customWidth="1"/>
    <col min="80" max="80" width="7.1796875" bestFit="1" customWidth="1"/>
    <col min="81" max="81" width="6.54296875" bestFit="1" customWidth="1"/>
    <col min="82" max="82" width="6.81640625" bestFit="1" customWidth="1"/>
    <col min="83" max="83" width="7.1796875" bestFit="1" customWidth="1"/>
    <col min="84" max="84" width="6.54296875" bestFit="1" customWidth="1"/>
    <col min="85" max="85" width="6.81640625" bestFit="1" customWidth="1"/>
    <col min="86" max="86" width="7.1796875" bestFit="1" customWidth="1"/>
    <col min="87" max="87" width="6.54296875" bestFit="1" customWidth="1"/>
    <col min="88" max="88" width="6.81640625" bestFit="1" customWidth="1"/>
    <col min="89" max="89" width="7.1796875" bestFit="1" customWidth="1"/>
    <col min="90" max="90" width="6.54296875" bestFit="1" customWidth="1"/>
    <col min="91" max="91" width="6.81640625" bestFit="1" customWidth="1"/>
    <col min="92" max="92" width="7.1796875" bestFit="1" customWidth="1"/>
    <col min="93" max="93" width="6.54296875" bestFit="1" customWidth="1"/>
    <col min="94" max="94" width="6.81640625" bestFit="1" customWidth="1"/>
    <col min="95" max="95" width="7.1796875" bestFit="1" customWidth="1"/>
    <col min="96" max="96" width="6.54296875" bestFit="1" customWidth="1"/>
    <col min="97" max="97" width="6.81640625" bestFit="1" customWidth="1"/>
    <col min="98" max="98" width="7.1796875" bestFit="1" customWidth="1"/>
    <col min="99" max="99" width="6.54296875" bestFit="1" customWidth="1"/>
    <col min="100" max="100" width="6.81640625" bestFit="1" customWidth="1"/>
    <col min="101" max="101" width="7.1796875" bestFit="1" customWidth="1"/>
    <col min="102" max="102" width="6.54296875" bestFit="1" customWidth="1"/>
    <col min="103" max="103" width="6.81640625" bestFit="1" customWidth="1"/>
    <col min="104" max="104" width="7.1796875" bestFit="1" customWidth="1"/>
    <col min="105" max="105" width="6.54296875" bestFit="1" customWidth="1"/>
    <col min="106" max="106" width="6.81640625" bestFit="1" customWidth="1"/>
    <col min="107" max="107" width="7.1796875" bestFit="1" customWidth="1"/>
    <col min="108" max="108" width="6.54296875" bestFit="1" customWidth="1"/>
    <col min="109" max="109" width="6.81640625" bestFit="1" customWidth="1"/>
    <col min="110" max="110" width="7.1796875" bestFit="1" customWidth="1"/>
    <col min="111" max="111" width="6.54296875" bestFit="1" customWidth="1"/>
    <col min="112" max="112" width="6.81640625" bestFit="1" customWidth="1"/>
    <col min="113" max="113" width="7.1796875" bestFit="1" customWidth="1"/>
    <col min="114" max="114" width="6.54296875" bestFit="1" customWidth="1"/>
    <col min="115" max="115" width="6.81640625" bestFit="1" customWidth="1"/>
    <col min="116" max="116" width="7.1796875" bestFit="1" customWidth="1"/>
    <col min="117" max="117" width="6.54296875" bestFit="1" customWidth="1"/>
    <col min="118" max="118" width="6.81640625" bestFit="1" customWidth="1"/>
    <col min="119" max="119" width="7.1796875" bestFit="1" customWidth="1"/>
    <col min="120" max="120" width="6.54296875" bestFit="1" customWidth="1"/>
    <col min="121" max="121" width="6.81640625" bestFit="1" customWidth="1"/>
    <col min="122" max="122" width="7.1796875" bestFit="1" customWidth="1"/>
    <col min="123" max="123" width="6.54296875" bestFit="1" customWidth="1"/>
    <col min="124" max="124" width="6.81640625" bestFit="1" customWidth="1"/>
    <col min="125" max="125" width="7.1796875" bestFit="1" customWidth="1"/>
    <col min="126" max="126" width="6.54296875" bestFit="1" customWidth="1"/>
    <col min="127" max="127" width="6.81640625" bestFit="1" customWidth="1"/>
    <col min="128" max="128" width="7.1796875" bestFit="1" customWidth="1"/>
    <col min="129" max="129" width="6.54296875" bestFit="1" customWidth="1"/>
    <col min="130" max="130" width="6.81640625" bestFit="1" customWidth="1"/>
    <col min="131" max="131" width="7.1796875" bestFit="1" customWidth="1"/>
    <col min="132" max="132" width="6.54296875" bestFit="1" customWidth="1"/>
    <col min="133" max="133" width="6.81640625" bestFit="1" customWidth="1"/>
    <col min="134" max="134" width="7.1796875" bestFit="1" customWidth="1"/>
    <col min="135" max="135" width="6.54296875" bestFit="1" customWidth="1"/>
    <col min="136" max="136" width="6.81640625" bestFit="1" customWidth="1"/>
    <col min="137" max="137" width="7.1796875" bestFit="1" customWidth="1"/>
    <col min="138" max="138" width="6.54296875" bestFit="1" customWidth="1"/>
    <col min="139" max="139" width="6.81640625" bestFit="1" customWidth="1"/>
    <col min="140" max="140" width="7.1796875" bestFit="1" customWidth="1"/>
    <col min="141" max="141" width="6.54296875" bestFit="1" customWidth="1"/>
    <col min="142" max="142" width="6.81640625" bestFit="1" customWidth="1"/>
    <col min="143" max="143" width="7.1796875" bestFit="1" customWidth="1"/>
    <col min="144" max="144" width="6.54296875" bestFit="1" customWidth="1"/>
    <col min="145" max="145" width="6.81640625" bestFit="1" customWidth="1"/>
    <col min="146" max="146" width="7.1796875" bestFit="1" customWidth="1"/>
    <col min="147" max="147" width="6.54296875" bestFit="1" customWidth="1"/>
    <col min="148" max="148" width="6.81640625" bestFit="1" customWidth="1"/>
    <col min="149" max="149" width="7.1796875" bestFit="1" customWidth="1"/>
    <col min="150" max="150" width="6.54296875" bestFit="1" customWidth="1"/>
    <col min="151" max="151" width="6.81640625" bestFit="1" customWidth="1"/>
    <col min="152" max="152" width="7.1796875" bestFit="1" customWidth="1"/>
    <col min="153" max="153" width="6.54296875" bestFit="1" customWidth="1"/>
    <col min="154" max="154" width="6.81640625" bestFit="1" customWidth="1"/>
    <col min="155" max="155" width="7.1796875" bestFit="1" customWidth="1"/>
    <col min="156" max="156" width="6.54296875" bestFit="1" customWidth="1"/>
    <col min="157" max="157" width="6.81640625" bestFit="1" customWidth="1"/>
    <col min="158" max="158" width="7.1796875" bestFit="1" customWidth="1"/>
    <col min="159" max="159" width="6.54296875" bestFit="1" customWidth="1"/>
    <col min="160" max="160" width="6.81640625" bestFit="1" customWidth="1"/>
    <col min="161" max="161" width="7.1796875" bestFit="1" customWidth="1"/>
    <col min="162" max="162" width="6.54296875" bestFit="1" customWidth="1"/>
    <col min="163" max="163" width="6.81640625" bestFit="1" customWidth="1"/>
    <col min="164" max="164" width="7.1796875" bestFit="1" customWidth="1"/>
    <col min="165" max="165" width="6.54296875" bestFit="1" customWidth="1"/>
    <col min="166" max="166" width="6.81640625" bestFit="1" customWidth="1"/>
    <col min="167" max="167" width="7.1796875" bestFit="1" customWidth="1"/>
    <col min="168" max="168" width="6.54296875" bestFit="1" customWidth="1"/>
    <col min="169" max="169" width="6.81640625" bestFit="1" customWidth="1"/>
    <col min="170" max="170" width="7.1796875" bestFit="1" customWidth="1"/>
    <col min="171" max="171" width="6.54296875" bestFit="1" customWidth="1"/>
    <col min="172" max="172" width="6.81640625" bestFit="1" customWidth="1"/>
    <col min="173" max="173" width="7.1796875" bestFit="1" customWidth="1"/>
    <col min="174" max="174" width="6.54296875" bestFit="1" customWidth="1"/>
    <col min="175" max="175" width="6.81640625" bestFit="1" customWidth="1"/>
    <col min="176" max="176" width="7.1796875" bestFit="1" customWidth="1"/>
    <col min="177" max="177" width="6.54296875" bestFit="1" customWidth="1"/>
    <col min="178" max="178" width="6.81640625" bestFit="1" customWidth="1"/>
    <col min="179" max="179" width="7.1796875" bestFit="1" customWidth="1"/>
    <col min="180" max="180" width="6.54296875" bestFit="1" customWidth="1"/>
    <col min="181" max="181" width="6.81640625" bestFit="1" customWidth="1"/>
    <col min="182" max="182" width="7.1796875" bestFit="1" customWidth="1"/>
    <col min="183" max="183" width="6.54296875" bestFit="1" customWidth="1"/>
    <col min="184" max="184" width="6.81640625" bestFit="1" customWidth="1"/>
    <col min="185" max="185" width="7.1796875" bestFit="1" customWidth="1"/>
    <col min="186" max="186" width="6.54296875" bestFit="1" customWidth="1"/>
    <col min="187" max="187" width="6.81640625" bestFit="1" customWidth="1"/>
    <col min="188" max="188" width="7.1796875" bestFit="1" customWidth="1"/>
    <col min="189" max="189" width="6.54296875" bestFit="1" customWidth="1"/>
    <col min="190" max="190" width="6.81640625" bestFit="1" customWidth="1"/>
    <col min="191" max="191" width="7.1796875" bestFit="1" customWidth="1"/>
    <col min="192" max="192" width="6.54296875" bestFit="1" customWidth="1"/>
    <col min="193" max="193" width="6.81640625" bestFit="1" customWidth="1"/>
    <col min="194" max="194" width="7.1796875" bestFit="1" customWidth="1"/>
    <col min="195" max="195" width="6.54296875" bestFit="1" customWidth="1"/>
    <col min="196" max="196" width="6.81640625" bestFit="1" customWidth="1"/>
    <col min="197" max="197" width="7.1796875" bestFit="1" customWidth="1"/>
    <col min="198" max="198" width="6.54296875" bestFit="1" customWidth="1"/>
    <col min="199" max="199" width="6.81640625" bestFit="1" customWidth="1"/>
    <col min="200" max="200" width="7.1796875" bestFit="1" customWidth="1"/>
    <col min="201" max="201" width="6.54296875" bestFit="1" customWidth="1"/>
    <col min="202" max="202" width="6.81640625" bestFit="1" customWidth="1"/>
    <col min="203" max="203" width="7.1796875" bestFit="1" customWidth="1"/>
    <col min="204" max="204" width="6.54296875" bestFit="1" customWidth="1"/>
    <col min="205" max="205" width="6.81640625" bestFit="1" customWidth="1"/>
    <col min="206" max="206" width="7.1796875" bestFit="1" customWidth="1"/>
    <col min="207" max="207" width="6.54296875" bestFit="1" customWidth="1"/>
    <col min="208" max="208" width="6.81640625" bestFit="1" customWidth="1"/>
    <col min="209" max="209" width="7.1796875" bestFit="1" customWidth="1"/>
    <col min="210" max="210" width="6.54296875" bestFit="1" customWidth="1"/>
    <col min="211" max="211" width="6.81640625" bestFit="1" customWidth="1"/>
    <col min="212" max="212" width="7.1796875" bestFit="1" customWidth="1"/>
    <col min="213" max="213" width="6.54296875" bestFit="1" customWidth="1"/>
    <col min="214" max="214" width="6.81640625" bestFit="1" customWidth="1"/>
    <col min="215" max="215" width="7.1796875" bestFit="1" customWidth="1"/>
    <col min="216" max="216" width="6.54296875" bestFit="1" customWidth="1"/>
    <col min="217" max="217" width="6.81640625" bestFit="1" customWidth="1"/>
    <col min="218" max="218" width="7.1796875" bestFit="1" customWidth="1"/>
    <col min="219" max="219" width="6.54296875" bestFit="1" customWidth="1"/>
    <col min="220" max="220" width="6.81640625" bestFit="1" customWidth="1"/>
    <col min="221" max="221" width="7.1796875" bestFit="1" customWidth="1"/>
    <col min="222" max="222" width="6.54296875" bestFit="1" customWidth="1"/>
    <col min="223" max="223" width="6.81640625" bestFit="1" customWidth="1"/>
    <col min="224" max="224" width="7.1796875" bestFit="1" customWidth="1"/>
    <col min="225" max="225" width="6.54296875" bestFit="1" customWidth="1"/>
    <col min="226" max="226" width="6.81640625" bestFit="1" customWidth="1"/>
    <col min="227" max="227" width="7.1796875" bestFit="1" customWidth="1"/>
    <col min="228" max="228" width="6.54296875" bestFit="1" customWidth="1"/>
    <col min="229" max="229" width="6.81640625" bestFit="1" customWidth="1"/>
    <col min="230" max="230" width="7.1796875" bestFit="1" customWidth="1"/>
    <col min="231" max="231" width="6.54296875" bestFit="1" customWidth="1"/>
    <col min="232" max="232" width="6.81640625" bestFit="1" customWidth="1"/>
    <col min="233" max="233" width="7.1796875" bestFit="1" customWidth="1"/>
    <col min="234" max="234" width="6.54296875" bestFit="1" customWidth="1"/>
    <col min="235" max="235" width="6.81640625" bestFit="1" customWidth="1"/>
    <col min="236" max="236" width="7.1796875" bestFit="1" customWidth="1"/>
    <col min="237" max="238" width="6.54296875" bestFit="1" customWidth="1"/>
    <col min="239" max="240" width="6.81640625" bestFit="1" customWidth="1"/>
    <col min="241" max="242" width="7.1796875" bestFit="1" customWidth="1"/>
    <col min="243" max="243" width="6.54296875" bestFit="1" customWidth="1"/>
    <col min="244" max="244" width="6.81640625" bestFit="1" customWidth="1"/>
    <col min="245" max="245" width="7.1796875" bestFit="1" customWidth="1"/>
    <col min="246" max="246" width="6.54296875" bestFit="1" customWidth="1"/>
    <col min="247" max="247" width="6.81640625" bestFit="1" customWidth="1"/>
    <col min="248" max="248" width="7.1796875" bestFit="1" customWidth="1"/>
    <col min="249" max="249" width="6.54296875" bestFit="1" customWidth="1"/>
    <col min="250" max="250" width="6.81640625" bestFit="1" customWidth="1"/>
    <col min="251" max="251" width="7.1796875" bestFit="1" customWidth="1"/>
    <col min="252" max="252" width="6.54296875" bestFit="1" customWidth="1"/>
    <col min="253" max="253" width="6.81640625" bestFit="1" customWidth="1"/>
    <col min="254" max="254" width="7.1796875" bestFit="1" customWidth="1"/>
    <col min="255" max="255" width="6.54296875" bestFit="1" customWidth="1"/>
    <col min="256" max="256" width="6.81640625" bestFit="1" customWidth="1"/>
    <col min="257" max="257" width="7.1796875" bestFit="1" customWidth="1"/>
    <col min="258" max="258" width="6.54296875" bestFit="1" customWidth="1"/>
    <col min="259" max="259" width="6.81640625" bestFit="1" customWidth="1"/>
    <col min="260" max="260" width="7.1796875" bestFit="1" customWidth="1"/>
    <col min="261" max="262" width="6.54296875" bestFit="1" customWidth="1"/>
    <col min="263" max="264" width="6.81640625" bestFit="1" customWidth="1"/>
    <col min="265" max="266" width="7.1796875" bestFit="1" customWidth="1"/>
    <col min="267" max="267" width="6.54296875" bestFit="1" customWidth="1"/>
    <col min="268" max="268" width="6.81640625" bestFit="1" customWidth="1"/>
    <col min="269" max="269" width="7.1796875" bestFit="1" customWidth="1"/>
    <col min="270" max="270" width="6.54296875" bestFit="1" customWidth="1"/>
    <col min="271" max="271" width="6.81640625" bestFit="1" customWidth="1"/>
    <col min="272" max="272" width="7.1796875" bestFit="1" customWidth="1"/>
    <col min="273" max="273" width="6.54296875" bestFit="1" customWidth="1"/>
    <col min="274" max="274" width="6.81640625" bestFit="1" customWidth="1"/>
    <col min="275" max="275" width="7.1796875" bestFit="1" customWidth="1"/>
    <col min="276" max="276" width="6.54296875" bestFit="1" customWidth="1"/>
    <col min="277" max="277" width="6.81640625" bestFit="1" customWidth="1"/>
    <col min="278" max="278" width="7.1796875" bestFit="1" customWidth="1"/>
    <col min="279" max="279" width="6.54296875" bestFit="1" customWidth="1"/>
    <col min="280" max="280" width="6.81640625" bestFit="1" customWidth="1"/>
    <col min="281" max="281" width="7.1796875" bestFit="1" customWidth="1"/>
    <col min="282" max="282" width="6.54296875" bestFit="1" customWidth="1"/>
    <col min="283" max="283" width="6.81640625" bestFit="1" customWidth="1"/>
    <col min="284" max="284" width="7.1796875" bestFit="1" customWidth="1"/>
    <col min="285" max="285" width="6.54296875" bestFit="1" customWidth="1"/>
    <col min="286" max="286" width="6.81640625" bestFit="1" customWidth="1"/>
    <col min="287" max="287" width="7.1796875" bestFit="1" customWidth="1"/>
    <col min="288" max="288" width="6.54296875" bestFit="1" customWidth="1"/>
    <col min="289" max="289" width="6.81640625" bestFit="1" customWidth="1"/>
    <col min="290" max="290" width="7.1796875" bestFit="1" customWidth="1"/>
    <col min="291" max="291" width="6.54296875" bestFit="1" customWidth="1"/>
    <col min="292" max="292" width="6.81640625" bestFit="1" customWidth="1"/>
    <col min="293" max="293" width="7.1796875" bestFit="1" customWidth="1"/>
    <col min="294" max="294" width="6.54296875" bestFit="1" customWidth="1"/>
    <col min="295" max="295" width="6.81640625" bestFit="1" customWidth="1"/>
    <col min="296" max="296" width="7.1796875" bestFit="1" customWidth="1"/>
    <col min="297" max="297" width="6.54296875" bestFit="1" customWidth="1"/>
    <col min="298" max="298" width="6.81640625" bestFit="1" customWidth="1"/>
    <col min="299" max="299" width="7.1796875" bestFit="1" customWidth="1"/>
    <col min="300" max="300" width="6.54296875" bestFit="1" customWidth="1"/>
    <col min="301" max="301" width="6.81640625" bestFit="1" customWidth="1"/>
    <col min="302" max="302" width="7.1796875" bestFit="1" customWidth="1"/>
    <col min="303" max="303" width="6.54296875" bestFit="1" customWidth="1"/>
    <col min="304" max="304" width="6.81640625" bestFit="1" customWidth="1"/>
    <col min="305" max="305" width="7.1796875" bestFit="1" customWidth="1"/>
    <col min="306" max="306" width="6.54296875" bestFit="1" customWidth="1"/>
    <col min="307" max="307" width="6.81640625" bestFit="1" customWidth="1"/>
    <col min="308" max="308" width="7.1796875" bestFit="1" customWidth="1"/>
    <col min="309" max="309" width="6.54296875" bestFit="1" customWidth="1"/>
    <col min="310" max="310" width="6.81640625" bestFit="1" customWidth="1"/>
    <col min="311" max="311" width="7.1796875" bestFit="1" customWidth="1"/>
    <col min="312" max="312" width="6.54296875" bestFit="1" customWidth="1"/>
    <col min="313" max="313" width="6.81640625" bestFit="1" customWidth="1"/>
    <col min="314" max="314" width="7.1796875" bestFit="1" customWidth="1"/>
    <col min="315" max="315" width="6.54296875" bestFit="1" customWidth="1"/>
    <col min="316" max="316" width="6.81640625" bestFit="1" customWidth="1"/>
    <col min="317" max="317" width="7.1796875" bestFit="1" customWidth="1"/>
    <col min="318" max="318" width="6.54296875" bestFit="1" customWidth="1"/>
    <col min="319" max="319" width="6.81640625" bestFit="1" customWidth="1"/>
    <col min="320" max="320" width="7.1796875" bestFit="1" customWidth="1"/>
    <col min="321" max="321" width="6.54296875" bestFit="1" customWidth="1"/>
    <col min="322" max="322" width="6.81640625" bestFit="1" customWidth="1"/>
    <col min="323" max="323" width="7.1796875" bestFit="1" customWidth="1"/>
    <col min="324" max="324" width="6.54296875" bestFit="1" customWidth="1"/>
    <col min="325" max="325" width="6.81640625" bestFit="1" customWidth="1"/>
    <col min="326" max="326" width="7.1796875" bestFit="1" customWidth="1"/>
    <col min="327" max="327" width="6.54296875" bestFit="1" customWidth="1"/>
    <col min="328" max="328" width="6.81640625" bestFit="1" customWidth="1"/>
    <col min="329" max="329" width="7.1796875" bestFit="1" customWidth="1"/>
    <col min="330" max="330" width="6.54296875" bestFit="1" customWidth="1"/>
    <col min="331" max="331" width="6.81640625" bestFit="1" customWidth="1"/>
    <col min="332" max="332" width="7.1796875" bestFit="1" customWidth="1"/>
    <col min="333" max="333" width="6.54296875" bestFit="1" customWidth="1"/>
    <col min="334" max="334" width="6.81640625" bestFit="1" customWidth="1"/>
    <col min="335" max="335" width="7.1796875" bestFit="1" customWidth="1"/>
    <col min="336" max="336" width="6.54296875" bestFit="1" customWidth="1"/>
    <col min="337" max="337" width="6.81640625" bestFit="1" customWidth="1"/>
    <col min="338" max="338" width="7.1796875" bestFit="1" customWidth="1"/>
    <col min="339" max="339" width="6.54296875" bestFit="1" customWidth="1"/>
    <col min="340" max="340" width="6.81640625" bestFit="1" customWidth="1"/>
    <col min="341" max="341" width="7.1796875" bestFit="1" customWidth="1"/>
    <col min="342" max="342" width="6.54296875" bestFit="1" customWidth="1"/>
    <col min="343" max="343" width="6.81640625" bestFit="1" customWidth="1"/>
    <col min="344" max="344" width="7.1796875" bestFit="1" customWidth="1"/>
    <col min="345" max="345" width="6.54296875" bestFit="1" customWidth="1"/>
    <col min="346" max="346" width="6.81640625" bestFit="1" customWidth="1"/>
    <col min="347" max="347" width="7.1796875" bestFit="1" customWidth="1"/>
    <col min="348" max="348" width="6.54296875" bestFit="1" customWidth="1"/>
    <col min="349" max="349" width="6.81640625" bestFit="1" customWidth="1"/>
    <col min="350" max="350" width="7.1796875" bestFit="1" customWidth="1"/>
    <col min="351" max="351" width="6.54296875" bestFit="1" customWidth="1"/>
    <col min="352" max="352" width="6.81640625" bestFit="1" customWidth="1"/>
    <col min="353" max="353" width="7.1796875" bestFit="1" customWidth="1"/>
    <col min="354" max="354" width="6.54296875" bestFit="1" customWidth="1"/>
    <col min="355" max="355" width="6.81640625" bestFit="1" customWidth="1"/>
    <col min="356" max="356" width="7.1796875" bestFit="1" customWidth="1"/>
    <col min="357" max="357" width="6.54296875" bestFit="1" customWidth="1"/>
    <col min="358" max="358" width="6.81640625" bestFit="1" customWidth="1"/>
    <col min="359" max="359" width="7.1796875" bestFit="1" customWidth="1"/>
    <col min="360" max="360" width="6.54296875" bestFit="1" customWidth="1"/>
    <col min="361" max="361" width="6.81640625" bestFit="1" customWidth="1"/>
    <col min="362" max="362" width="7.1796875" bestFit="1" customWidth="1"/>
    <col min="363" max="363" width="6.54296875" bestFit="1" customWidth="1"/>
    <col min="364" max="364" width="6.81640625" bestFit="1" customWidth="1"/>
    <col min="365" max="365" width="7.1796875" bestFit="1" customWidth="1"/>
    <col min="366" max="366" width="6.54296875" bestFit="1" customWidth="1"/>
    <col min="367" max="367" width="6.81640625" bestFit="1" customWidth="1"/>
    <col min="368" max="368" width="7.1796875" bestFit="1" customWidth="1"/>
    <col min="369" max="369" width="6.54296875" bestFit="1" customWidth="1"/>
    <col min="370" max="370" width="6.81640625" bestFit="1" customWidth="1"/>
    <col min="371" max="371" width="7.1796875" bestFit="1" customWidth="1"/>
    <col min="372" max="372" width="6.54296875" bestFit="1" customWidth="1"/>
    <col min="373" max="373" width="6.81640625" bestFit="1" customWidth="1"/>
    <col min="374" max="374" width="7.1796875" bestFit="1" customWidth="1"/>
    <col min="375" max="375" width="6.54296875" bestFit="1" customWidth="1"/>
    <col min="376" max="376" width="6.81640625" bestFit="1" customWidth="1"/>
    <col min="377" max="377" width="7.1796875" bestFit="1" customWidth="1"/>
    <col min="378" max="378" width="6.54296875" bestFit="1" customWidth="1"/>
    <col min="379" max="379" width="6.81640625" bestFit="1" customWidth="1"/>
    <col min="380" max="380" width="7.1796875" bestFit="1" customWidth="1"/>
    <col min="381" max="381" width="6.54296875" bestFit="1" customWidth="1"/>
    <col min="382" max="382" width="6.81640625" bestFit="1" customWidth="1"/>
    <col min="383" max="383" width="7.1796875" bestFit="1" customWidth="1"/>
    <col min="384" max="384" width="6.54296875" bestFit="1" customWidth="1"/>
    <col min="385" max="385" width="6.81640625" bestFit="1" customWidth="1"/>
    <col min="386" max="386" width="7.1796875" bestFit="1" customWidth="1"/>
    <col min="387" max="387" width="6.54296875" bestFit="1" customWidth="1"/>
    <col min="388" max="388" width="6.81640625" bestFit="1" customWidth="1"/>
    <col min="389" max="389" width="7.1796875" bestFit="1" customWidth="1"/>
    <col min="390" max="390" width="6.54296875" bestFit="1" customWidth="1"/>
    <col min="391" max="391" width="6.81640625" bestFit="1" customWidth="1"/>
    <col min="392" max="392" width="7.1796875" bestFit="1" customWidth="1"/>
    <col min="393" max="393" width="6.54296875" bestFit="1" customWidth="1"/>
    <col min="394" max="394" width="6.81640625" bestFit="1" customWidth="1"/>
    <col min="395" max="395" width="7.1796875" bestFit="1" customWidth="1"/>
    <col min="396" max="396" width="6.54296875" bestFit="1" customWidth="1"/>
    <col min="397" max="397" width="6.81640625" bestFit="1" customWidth="1"/>
    <col min="398" max="398" width="7.1796875" bestFit="1" customWidth="1"/>
    <col min="399" max="399" width="6.54296875" bestFit="1" customWidth="1"/>
    <col min="400" max="400" width="6.81640625" bestFit="1" customWidth="1"/>
    <col min="401" max="401" width="7.1796875" bestFit="1" customWidth="1"/>
    <col min="402" max="402" width="6.54296875" bestFit="1" customWidth="1"/>
    <col min="403" max="403" width="6.81640625" bestFit="1" customWidth="1"/>
    <col min="404" max="404" width="7.1796875" bestFit="1" customWidth="1"/>
    <col min="405" max="405" width="6.54296875" bestFit="1" customWidth="1"/>
    <col min="406" max="406" width="6.81640625" bestFit="1" customWidth="1"/>
    <col min="407" max="407" width="7.1796875" bestFit="1" customWidth="1"/>
    <col min="408" max="408" width="6.54296875" bestFit="1" customWidth="1"/>
    <col min="409" max="409" width="6.81640625" bestFit="1" customWidth="1"/>
    <col min="410" max="410" width="7.1796875" bestFit="1" customWidth="1"/>
    <col min="411" max="411" width="6.54296875" bestFit="1" customWidth="1"/>
    <col min="412" max="412" width="6.81640625" bestFit="1" customWidth="1"/>
    <col min="413" max="413" width="7.1796875" bestFit="1" customWidth="1"/>
    <col min="414" max="414" width="6.54296875" bestFit="1" customWidth="1"/>
    <col min="415" max="415" width="6.81640625" bestFit="1" customWidth="1"/>
    <col min="416" max="416" width="7.1796875" bestFit="1" customWidth="1"/>
    <col min="417" max="417" width="6.54296875" bestFit="1" customWidth="1"/>
    <col min="418" max="418" width="6.81640625" bestFit="1" customWidth="1"/>
    <col min="419" max="419" width="7.1796875" bestFit="1" customWidth="1"/>
    <col min="420" max="420" width="6.54296875" bestFit="1" customWidth="1"/>
    <col min="421" max="421" width="6.81640625" bestFit="1" customWidth="1"/>
    <col min="422" max="422" width="7.1796875" bestFit="1" customWidth="1"/>
    <col min="423" max="423" width="6.54296875" bestFit="1" customWidth="1"/>
    <col min="424" max="424" width="6.81640625" bestFit="1" customWidth="1"/>
    <col min="425" max="425" width="7.1796875" bestFit="1" customWidth="1"/>
    <col min="426" max="426" width="6.54296875" bestFit="1" customWidth="1"/>
    <col min="427" max="427" width="6.81640625" bestFit="1" customWidth="1"/>
    <col min="428" max="428" width="7.1796875" bestFit="1" customWidth="1"/>
    <col min="429" max="429" width="6.54296875" bestFit="1" customWidth="1"/>
    <col min="430" max="430" width="6.81640625" bestFit="1" customWidth="1"/>
    <col min="431" max="431" width="7.1796875" bestFit="1" customWidth="1"/>
    <col min="432" max="432" width="6.54296875" bestFit="1" customWidth="1"/>
    <col min="433" max="433" width="6.81640625" bestFit="1" customWidth="1"/>
    <col min="434" max="434" width="7.1796875" bestFit="1" customWidth="1"/>
    <col min="435" max="435" width="6.54296875" bestFit="1" customWidth="1"/>
    <col min="436" max="436" width="6.81640625" bestFit="1" customWidth="1"/>
    <col min="437" max="437" width="7.1796875" bestFit="1" customWidth="1"/>
    <col min="438" max="438" width="6.54296875" bestFit="1" customWidth="1"/>
    <col min="439" max="439" width="6.81640625" bestFit="1" customWidth="1"/>
    <col min="440" max="440" width="7.1796875" bestFit="1" customWidth="1"/>
    <col min="441" max="441" width="6.54296875" bestFit="1" customWidth="1"/>
    <col min="442" max="442" width="6.81640625" bestFit="1" customWidth="1"/>
    <col min="443" max="443" width="7.1796875" bestFit="1" customWidth="1"/>
    <col min="444" max="444" width="6.54296875" bestFit="1" customWidth="1"/>
    <col min="445" max="445" width="6.81640625" bestFit="1" customWidth="1"/>
    <col min="446" max="446" width="7.1796875" bestFit="1" customWidth="1"/>
    <col min="447" max="447" width="6.54296875" bestFit="1" customWidth="1"/>
    <col min="448" max="448" width="6.81640625" bestFit="1" customWidth="1"/>
    <col min="449" max="449" width="7.1796875" bestFit="1" customWidth="1"/>
    <col min="450" max="450" width="6.54296875" bestFit="1" customWidth="1"/>
    <col min="451" max="451" width="6.81640625" bestFit="1" customWidth="1"/>
    <col min="452" max="452" width="7.1796875" bestFit="1" customWidth="1"/>
    <col min="453" max="453" width="6.54296875" bestFit="1" customWidth="1"/>
    <col min="454" max="454" width="6.81640625" bestFit="1" customWidth="1"/>
    <col min="455" max="455" width="7.1796875" bestFit="1" customWidth="1"/>
    <col min="456" max="456" width="6.54296875" bestFit="1" customWidth="1"/>
    <col min="457" max="457" width="6.81640625" bestFit="1" customWidth="1"/>
    <col min="458" max="458" width="7.1796875" bestFit="1" customWidth="1"/>
    <col min="459" max="459" width="6.54296875" bestFit="1" customWidth="1"/>
    <col min="460" max="460" width="6.81640625" bestFit="1" customWidth="1"/>
    <col min="461" max="461" width="7.1796875" bestFit="1" customWidth="1"/>
    <col min="462" max="462" width="6.54296875" bestFit="1" customWidth="1"/>
    <col min="463" max="463" width="6.81640625" bestFit="1" customWidth="1"/>
    <col min="464" max="464" width="7.1796875" bestFit="1" customWidth="1"/>
    <col min="465" max="465" width="6.54296875" bestFit="1" customWidth="1"/>
    <col min="466" max="466" width="6.81640625" bestFit="1" customWidth="1"/>
    <col min="467" max="467" width="7.1796875" bestFit="1" customWidth="1"/>
    <col min="468" max="468" width="6.54296875" bestFit="1" customWidth="1"/>
    <col min="469" max="469" width="6.81640625" bestFit="1" customWidth="1"/>
    <col min="470" max="470" width="7.1796875" bestFit="1" customWidth="1"/>
    <col min="471" max="471" width="6.54296875" bestFit="1" customWidth="1"/>
    <col min="472" max="472" width="6.81640625" bestFit="1" customWidth="1"/>
    <col min="473" max="473" width="7.1796875" bestFit="1" customWidth="1"/>
    <col min="474" max="474" width="6.54296875" bestFit="1" customWidth="1"/>
    <col min="475" max="475" width="6.81640625" bestFit="1" customWidth="1"/>
    <col min="476" max="476" width="7.1796875" bestFit="1" customWidth="1"/>
    <col min="477" max="477" width="6.54296875" bestFit="1" customWidth="1"/>
    <col min="478" max="478" width="6.81640625" bestFit="1" customWidth="1"/>
    <col min="479" max="479" width="7.1796875" bestFit="1" customWidth="1"/>
    <col min="480" max="480" width="6.54296875" bestFit="1" customWidth="1"/>
    <col min="481" max="481" width="6.81640625" bestFit="1" customWidth="1"/>
    <col min="482" max="482" width="7.1796875" bestFit="1" customWidth="1"/>
    <col min="483" max="483" width="6.54296875" bestFit="1" customWidth="1"/>
    <col min="484" max="484" width="6.81640625" bestFit="1" customWidth="1"/>
    <col min="485" max="485" width="7.1796875" bestFit="1" customWidth="1"/>
    <col min="486" max="486" width="6.54296875" bestFit="1" customWidth="1"/>
    <col min="487" max="487" width="6.81640625" bestFit="1" customWidth="1"/>
    <col min="488" max="488" width="7.1796875" bestFit="1" customWidth="1"/>
    <col min="489" max="489" width="6.54296875" bestFit="1" customWidth="1"/>
    <col min="490" max="490" width="6.81640625" bestFit="1" customWidth="1"/>
    <col min="491" max="491" width="7.1796875" bestFit="1" customWidth="1"/>
    <col min="492" max="492" width="6.54296875" bestFit="1" customWidth="1"/>
    <col min="493" max="493" width="6.81640625" bestFit="1" customWidth="1"/>
    <col min="494" max="494" width="7.1796875" bestFit="1" customWidth="1"/>
    <col min="495" max="495" width="6.54296875" bestFit="1" customWidth="1"/>
    <col min="496" max="496" width="6.81640625" bestFit="1" customWidth="1"/>
    <col min="497" max="497" width="7.1796875" bestFit="1" customWidth="1"/>
    <col min="498" max="498" width="6.54296875" bestFit="1" customWidth="1"/>
    <col min="499" max="499" width="6.81640625" bestFit="1" customWidth="1"/>
    <col min="500" max="500" width="7.1796875" bestFit="1" customWidth="1"/>
    <col min="501" max="501" width="6.54296875" bestFit="1" customWidth="1"/>
    <col min="502" max="502" width="6.81640625" bestFit="1" customWidth="1"/>
    <col min="503" max="503" width="7.1796875" bestFit="1" customWidth="1"/>
    <col min="504" max="504" width="6.54296875" bestFit="1" customWidth="1"/>
    <col min="505" max="505" width="6.81640625" bestFit="1" customWidth="1"/>
    <col min="506" max="506" width="7.1796875" bestFit="1" customWidth="1"/>
    <col min="507" max="507" width="6.54296875" bestFit="1" customWidth="1"/>
    <col min="508" max="508" width="6.81640625" bestFit="1" customWidth="1"/>
    <col min="509" max="509" width="7.1796875" bestFit="1" customWidth="1"/>
    <col min="510" max="510" width="6.54296875" bestFit="1" customWidth="1"/>
    <col min="511" max="511" width="6.81640625" bestFit="1" customWidth="1"/>
    <col min="512" max="512" width="7.1796875" bestFit="1" customWidth="1"/>
    <col min="513" max="513" width="6.54296875" bestFit="1" customWidth="1"/>
    <col min="514" max="514" width="6.81640625" bestFit="1" customWidth="1"/>
    <col min="515" max="515" width="7.1796875" bestFit="1" customWidth="1"/>
    <col min="516" max="516" width="6.54296875" bestFit="1" customWidth="1"/>
    <col min="517" max="517" width="6.81640625" bestFit="1" customWidth="1"/>
    <col min="518" max="518" width="7.1796875" bestFit="1" customWidth="1"/>
    <col min="519" max="519" width="6.54296875" bestFit="1" customWidth="1"/>
    <col min="520" max="520" width="6.81640625" bestFit="1" customWidth="1"/>
    <col min="521" max="521" width="7.1796875" bestFit="1" customWidth="1"/>
    <col min="522" max="522" width="6.54296875" bestFit="1" customWidth="1"/>
    <col min="523" max="523" width="6.81640625" bestFit="1" customWidth="1"/>
    <col min="524" max="524" width="7.1796875" bestFit="1" customWidth="1"/>
    <col min="525" max="525" width="6.54296875" bestFit="1" customWidth="1"/>
    <col min="526" max="526" width="6.81640625" bestFit="1" customWidth="1"/>
    <col min="527" max="527" width="7.1796875" bestFit="1" customWidth="1"/>
    <col min="528" max="528" width="6.54296875" bestFit="1" customWidth="1"/>
    <col min="529" max="529" width="6.81640625" bestFit="1" customWidth="1"/>
    <col min="530" max="530" width="7.1796875" bestFit="1" customWidth="1"/>
    <col min="531" max="531" width="6.54296875" bestFit="1" customWidth="1"/>
    <col min="532" max="532" width="6.81640625" bestFit="1" customWidth="1"/>
    <col min="533" max="533" width="7.1796875" bestFit="1" customWidth="1"/>
    <col min="534" max="534" width="6.54296875" bestFit="1" customWidth="1"/>
    <col min="535" max="535" width="6.81640625" bestFit="1" customWidth="1"/>
    <col min="536" max="536" width="7.1796875" bestFit="1" customWidth="1"/>
    <col min="537" max="537" width="6.54296875" bestFit="1" customWidth="1"/>
    <col min="538" max="538" width="6.81640625" bestFit="1" customWidth="1"/>
    <col min="539" max="539" width="7.1796875" bestFit="1" customWidth="1"/>
    <col min="540" max="540" width="6.54296875" bestFit="1" customWidth="1"/>
    <col min="541" max="541" width="6.81640625" bestFit="1" customWidth="1"/>
    <col min="542" max="542" width="7.1796875" bestFit="1" customWidth="1"/>
    <col min="543" max="543" width="6.54296875" bestFit="1" customWidth="1"/>
    <col min="544" max="544" width="6.81640625" bestFit="1" customWidth="1"/>
    <col min="545" max="545" width="7.1796875" bestFit="1" customWidth="1"/>
    <col min="546" max="546" width="6.54296875" bestFit="1" customWidth="1"/>
    <col min="547" max="547" width="6.81640625" bestFit="1" customWidth="1"/>
    <col min="548" max="548" width="7.1796875" bestFit="1" customWidth="1"/>
    <col min="549" max="549" width="6.54296875" bestFit="1" customWidth="1"/>
    <col min="550" max="550" width="6.81640625" bestFit="1" customWidth="1"/>
    <col min="551" max="551" width="7.1796875" bestFit="1" customWidth="1"/>
    <col min="552" max="552" width="6.54296875" bestFit="1" customWidth="1"/>
    <col min="553" max="553" width="6.81640625" bestFit="1" customWidth="1"/>
    <col min="554" max="554" width="7.1796875" bestFit="1" customWidth="1"/>
    <col min="555" max="555" width="6.54296875" bestFit="1" customWidth="1"/>
    <col min="556" max="556" width="6.81640625" bestFit="1" customWidth="1"/>
    <col min="557" max="557" width="7.1796875" bestFit="1" customWidth="1"/>
    <col min="558" max="558" width="6.54296875" bestFit="1" customWidth="1"/>
    <col min="559" max="559" width="6.81640625" bestFit="1" customWidth="1"/>
    <col min="560" max="560" width="7.1796875" bestFit="1" customWidth="1"/>
    <col min="561" max="561" width="6.54296875" bestFit="1" customWidth="1"/>
    <col min="562" max="562" width="6.81640625" bestFit="1" customWidth="1"/>
    <col min="563" max="563" width="7.1796875" bestFit="1" customWidth="1"/>
    <col min="564" max="564" width="6.54296875" bestFit="1" customWidth="1"/>
    <col min="565" max="565" width="6.81640625" bestFit="1" customWidth="1"/>
    <col min="566" max="566" width="7.1796875" bestFit="1" customWidth="1"/>
    <col min="567" max="567" width="6.54296875" bestFit="1" customWidth="1"/>
    <col min="568" max="568" width="6.81640625" bestFit="1" customWidth="1"/>
    <col min="569" max="569" width="7.1796875" bestFit="1" customWidth="1"/>
    <col min="570" max="570" width="6.54296875" bestFit="1" customWidth="1"/>
    <col min="571" max="571" width="6.81640625" bestFit="1" customWidth="1"/>
    <col min="572" max="572" width="7.1796875" bestFit="1" customWidth="1"/>
    <col min="573" max="573" width="6.54296875" bestFit="1" customWidth="1"/>
    <col min="574" max="574" width="6.81640625" bestFit="1" customWidth="1"/>
    <col min="575" max="575" width="7.1796875" bestFit="1" customWidth="1"/>
    <col min="576" max="577" width="6.54296875" bestFit="1" customWidth="1"/>
    <col min="578" max="579" width="6.81640625" bestFit="1" customWidth="1"/>
    <col min="580" max="581" width="7.1796875" bestFit="1" customWidth="1"/>
    <col min="582" max="582" width="6.54296875" bestFit="1" customWidth="1"/>
    <col min="583" max="583" width="6.81640625" bestFit="1" customWidth="1"/>
    <col min="584" max="584" width="7.1796875" bestFit="1" customWidth="1"/>
    <col min="585" max="585" width="6.54296875" bestFit="1" customWidth="1"/>
    <col min="586" max="586" width="6.81640625" bestFit="1" customWidth="1"/>
    <col min="587" max="587" width="7.1796875" bestFit="1" customWidth="1"/>
    <col min="588" max="588" width="6.54296875" bestFit="1" customWidth="1"/>
    <col min="589" max="589" width="6.81640625" bestFit="1" customWidth="1"/>
    <col min="590" max="590" width="7.1796875" bestFit="1" customWidth="1"/>
    <col min="591" max="591" width="6.54296875" bestFit="1" customWidth="1"/>
    <col min="592" max="592" width="6.81640625" bestFit="1" customWidth="1"/>
    <col min="593" max="593" width="7.1796875" bestFit="1" customWidth="1"/>
    <col min="594" max="594" width="6.54296875" bestFit="1" customWidth="1"/>
    <col min="595" max="595" width="6.81640625" bestFit="1" customWidth="1"/>
    <col min="596" max="596" width="7.1796875" bestFit="1" customWidth="1"/>
    <col min="597" max="597" width="6.54296875" bestFit="1" customWidth="1"/>
    <col min="598" max="598" width="6.81640625" bestFit="1" customWidth="1"/>
    <col min="599" max="599" width="7.1796875" bestFit="1" customWidth="1"/>
    <col min="600" max="600" width="6.54296875" bestFit="1" customWidth="1"/>
    <col min="601" max="601" width="6.81640625" bestFit="1" customWidth="1"/>
    <col min="602" max="602" width="7.1796875" bestFit="1" customWidth="1"/>
    <col min="603" max="603" width="6.54296875" bestFit="1" customWidth="1"/>
    <col min="604" max="604" width="6.81640625" bestFit="1" customWidth="1"/>
    <col min="605" max="605" width="7.1796875" bestFit="1" customWidth="1"/>
    <col min="606" max="606" width="6.54296875" bestFit="1" customWidth="1"/>
    <col min="607" max="607" width="6.81640625" bestFit="1" customWidth="1"/>
    <col min="608" max="608" width="7.1796875" bestFit="1" customWidth="1"/>
    <col min="609" max="609" width="6.54296875" bestFit="1" customWidth="1"/>
    <col min="610" max="610" width="6.81640625" bestFit="1" customWidth="1"/>
    <col min="611" max="611" width="7.1796875" bestFit="1" customWidth="1"/>
    <col min="612" max="612" width="6.54296875" bestFit="1" customWidth="1"/>
    <col min="613" max="613" width="6.81640625" bestFit="1" customWidth="1"/>
    <col min="614" max="614" width="7.1796875" bestFit="1" customWidth="1"/>
    <col min="615" max="615" width="6.54296875" bestFit="1" customWidth="1"/>
    <col min="616" max="616" width="6.81640625" bestFit="1" customWidth="1"/>
    <col min="617" max="617" width="7.1796875" bestFit="1" customWidth="1"/>
    <col min="618" max="618" width="6.54296875" bestFit="1" customWidth="1"/>
    <col min="619" max="619" width="6.81640625" bestFit="1" customWidth="1"/>
    <col min="620" max="620" width="7.1796875" bestFit="1" customWidth="1"/>
    <col min="621" max="621" width="6.54296875" bestFit="1" customWidth="1"/>
    <col min="622" max="622" width="6.81640625" bestFit="1" customWidth="1"/>
    <col min="623" max="623" width="7.1796875" bestFit="1" customWidth="1"/>
    <col min="624" max="624" width="6.54296875" bestFit="1" customWidth="1"/>
    <col min="625" max="625" width="6.81640625" bestFit="1" customWidth="1"/>
    <col min="626" max="626" width="7.1796875" bestFit="1" customWidth="1"/>
    <col min="627" max="627" width="6.54296875" bestFit="1" customWidth="1"/>
    <col min="628" max="628" width="6.81640625" bestFit="1" customWidth="1"/>
    <col min="629" max="629" width="7.1796875" bestFit="1" customWidth="1"/>
    <col min="630" max="630" width="6.54296875" bestFit="1" customWidth="1"/>
    <col min="631" max="631" width="6.81640625" bestFit="1" customWidth="1"/>
    <col min="632" max="632" width="7.1796875" bestFit="1" customWidth="1"/>
    <col min="633" max="633" width="6.54296875" bestFit="1" customWidth="1"/>
    <col min="634" max="634" width="6.81640625" bestFit="1" customWidth="1"/>
    <col min="635" max="635" width="7.1796875" bestFit="1" customWidth="1"/>
    <col min="636" max="636" width="6.54296875" bestFit="1" customWidth="1"/>
    <col min="637" max="637" width="6.81640625" bestFit="1" customWidth="1"/>
    <col min="638" max="638" width="7.1796875" bestFit="1" customWidth="1"/>
    <col min="639" max="639" width="6.54296875" bestFit="1" customWidth="1"/>
    <col min="640" max="640" width="6.81640625" bestFit="1" customWidth="1"/>
    <col min="641" max="641" width="7.1796875" bestFit="1" customWidth="1"/>
    <col min="642" max="642" width="6.54296875" bestFit="1" customWidth="1"/>
    <col min="643" max="643" width="6.81640625" bestFit="1" customWidth="1"/>
    <col min="644" max="644" width="7.1796875" bestFit="1" customWidth="1"/>
    <col min="645" max="645" width="6.54296875" bestFit="1" customWidth="1"/>
    <col min="646" max="646" width="6.81640625" bestFit="1" customWidth="1"/>
    <col min="647" max="647" width="7.1796875" bestFit="1" customWidth="1"/>
    <col min="648" max="648" width="6.54296875" bestFit="1" customWidth="1"/>
    <col min="649" max="649" width="6.81640625" bestFit="1" customWidth="1"/>
    <col min="650" max="650" width="7.1796875" bestFit="1" customWidth="1"/>
    <col min="651" max="651" width="6.54296875" bestFit="1" customWidth="1"/>
    <col min="652" max="652" width="6.81640625" bestFit="1" customWidth="1"/>
    <col min="653" max="653" width="7.1796875" bestFit="1" customWidth="1"/>
    <col min="654" max="654" width="6.54296875" bestFit="1" customWidth="1"/>
    <col min="655" max="655" width="6.81640625" bestFit="1" customWidth="1"/>
    <col min="656" max="656" width="7.1796875" bestFit="1" customWidth="1"/>
    <col min="657" max="657" width="6.54296875" bestFit="1" customWidth="1"/>
    <col min="658" max="658" width="6.81640625" bestFit="1" customWidth="1"/>
    <col min="659" max="659" width="7.1796875" bestFit="1" customWidth="1"/>
    <col min="660" max="660" width="6.54296875" bestFit="1" customWidth="1"/>
    <col min="661" max="661" width="6.81640625" bestFit="1" customWidth="1"/>
    <col min="662" max="662" width="7.1796875" bestFit="1" customWidth="1"/>
    <col min="663" max="663" width="6.54296875" bestFit="1" customWidth="1"/>
    <col min="664" max="664" width="6.81640625" bestFit="1" customWidth="1"/>
    <col min="665" max="665" width="7.1796875" bestFit="1" customWidth="1"/>
    <col min="666" max="666" width="6.54296875" bestFit="1" customWidth="1"/>
    <col min="667" max="667" width="6.81640625" bestFit="1" customWidth="1"/>
    <col min="668" max="668" width="7.1796875" bestFit="1" customWidth="1"/>
    <col min="669" max="669" width="6.54296875" bestFit="1" customWidth="1"/>
    <col min="670" max="670" width="6.81640625" bestFit="1" customWidth="1"/>
    <col min="671" max="671" width="7.1796875" bestFit="1" customWidth="1"/>
    <col min="672" max="672" width="6.54296875" bestFit="1" customWidth="1"/>
    <col min="673" max="673" width="6.81640625" bestFit="1" customWidth="1"/>
    <col min="674" max="674" width="7.1796875" bestFit="1" customWidth="1"/>
    <col min="675" max="675" width="6.54296875" bestFit="1" customWidth="1"/>
    <col min="676" max="676" width="6.81640625" bestFit="1" customWidth="1"/>
    <col min="677" max="677" width="7.1796875" bestFit="1" customWidth="1"/>
    <col min="678" max="678" width="6.54296875" bestFit="1" customWidth="1"/>
    <col min="679" max="679" width="6.81640625" bestFit="1" customWidth="1"/>
    <col min="680" max="680" width="7.1796875" bestFit="1" customWidth="1"/>
    <col min="681" max="681" width="6.54296875" bestFit="1" customWidth="1"/>
    <col min="682" max="682" width="6.81640625" bestFit="1" customWidth="1"/>
    <col min="683" max="683" width="7.1796875" bestFit="1" customWidth="1"/>
    <col min="684" max="684" width="6.54296875" bestFit="1" customWidth="1"/>
    <col min="685" max="685" width="6.81640625" bestFit="1" customWidth="1"/>
    <col min="686" max="686" width="7.1796875" bestFit="1" customWidth="1"/>
    <col min="687" max="687" width="6.54296875" bestFit="1" customWidth="1"/>
    <col min="688" max="688" width="6.81640625" bestFit="1" customWidth="1"/>
    <col min="689" max="689" width="7.1796875" bestFit="1" customWidth="1"/>
    <col min="690" max="690" width="6.54296875" bestFit="1" customWidth="1"/>
    <col min="691" max="691" width="6.81640625" bestFit="1" customWidth="1"/>
    <col min="692" max="692" width="7.1796875" bestFit="1" customWidth="1"/>
    <col min="693" max="693" width="6.54296875" bestFit="1" customWidth="1"/>
    <col min="694" max="694" width="6.81640625" bestFit="1" customWidth="1"/>
    <col min="695" max="695" width="7.1796875" bestFit="1" customWidth="1"/>
    <col min="696" max="696" width="6.54296875" bestFit="1" customWidth="1"/>
    <col min="697" max="697" width="6.81640625" bestFit="1" customWidth="1"/>
    <col min="698" max="698" width="7.1796875" bestFit="1" customWidth="1"/>
    <col min="699" max="699" width="6.54296875" bestFit="1" customWidth="1"/>
    <col min="700" max="700" width="6.81640625" bestFit="1" customWidth="1"/>
    <col min="701" max="701" width="7.1796875" bestFit="1" customWidth="1"/>
    <col min="702" max="702" width="6.54296875" bestFit="1" customWidth="1"/>
    <col min="703" max="703" width="6.81640625" bestFit="1" customWidth="1"/>
    <col min="704" max="704" width="7.1796875" bestFit="1" customWidth="1"/>
    <col min="705" max="705" width="6.54296875" bestFit="1" customWidth="1"/>
    <col min="706" max="706" width="6.81640625" bestFit="1" customWidth="1"/>
    <col min="707" max="707" width="7.1796875" bestFit="1" customWidth="1"/>
    <col min="708" max="708" width="6.54296875" bestFit="1" customWidth="1"/>
    <col min="709" max="709" width="6.81640625" bestFit="1" customWidth="1"/>
    <col min="710" max="710" width="7.1796875" bestFit="1" customWidth="1"/>
    <col min="711" max="711" width="6.54296875" bestFit="1" customWidth="1"/>
    <col min="712" max="712" width="6.81640625" bestFit="1" customWidth="1"/>
    <col min="713" max="713" width="7.1796875" bestFit="1" customWidth="1"/>
    <col min="714" max="714" width="6.54296875" bestFit="1" customWidth="1"/>
    <col min="715" max="715" width="6.81640625" bestFit="1" customWidth="1"/>
    <col min="716" max="716" width="7.1796875" bestFit="1" customWidth="1"/>
    <col min="717" max="717" width="6.54296875" bestFit="1" customWidth="1"/>
    <col min="718" max="718" width="6.81640625" bestFit="1" customWidth="1"/>
    <col min="719" max="719" width="7.1796875" bestFit="1" customWidth="1"/>
    <col min="720" max="720" width="6.54296875" bestFit="1" customWidth="1"/>
    <col min="721" max="721" width="6.81640625" bestFit="1" customWidth="1"/>
    <col min="722" max="722" width="7.1796875" bestFit="1" customWidth="1"/>
    <col min="723" max="723" width="6.54296875" bestFit="1" customWidth="1"/>
    <col min="724" max="724" width="6.81640625" bestFit="1" customWidth="1"/>
    <col min="725" max="725" width="7.1796875" bestFit="1" customWidth="1"/>
    <col min="726" max="726" width="6.54296875" bestFit="1" customWidth="1"/>
    <col min="727" max="727" width="6.81640625" bestFit="1" customWidth="1"/>
    <col min="728" max="728" width="7.1796875" bestFit="1" customWidth="1"/>
    <col min="729" max="729" width="6.54296875" bestFit="1" customWidth="1"/>
    <col min="730" max="730" width="6.81640625" bestFit="1" customWidth="1"/>
    <col min="731" max="731" width="7.1796875" bestFit="1" customWidth="1"/>
    <col min="732" max="732" width="6.54296875" bestFit="1" customWidth="1"/>
    <col min="733" max="733" width="6.81640625" bestFit="1" customWidth="1"/>
    <col min="734" max="734" width="7.1796875" bestFit="1" customWidth="1"/>
    <col min="735" max="736" width="6.54296875" bestFit="1" customWidth="1"/>
    <col min="737" max="738" width="6.81640625" bestFit="1" customWidth="1"/>
    <col min="739" max="740" width="7.1796875" bestFit="1" customWidth="1"/>
    <col min="741" max="741" width="6.54296875" bestFit="1" customWidth="1"/>
    <col min="742" max="742" width="6.81640625" bestFit="1" customWidth="1"/>
    <col min="743" max="743" width="7.1796875" bestFit="1" customWidth="1"/>
    <col min="744" max="744" width="6.54296875" bestFit="1" customWidth="1"/>
    <col min="745" max="745" width="6.81640625" bestFit="1" customWidth="1"/>
    <col min="746" max="746" width="7.1796875" bestFit="1" customWidth="1"/>
    <col min="747" max="747" width="6.54296875" bestFit="1" customWidth="1"/>
    <col min="748" max="748" width="6.81640625" bestFit="1" customWidth="1"/>
    <col min="749" max="749" width="7.1796875" bestFit="1" customWidth="1"/>
    <col min="750" max="750" width="6.54296875" bestFit="1" customWidth="1"/>
    <col min="751" max="751" width="6.81640625" bestFit="1" customWidth="1"/>
    <col min="752" max="752" width="7.1796875" bestFit="1" customWidth="1"/>
    <col min="753" max="753" width="6.54296875" bestFit="1" customWidth="1"/>
    <col min="754" max="754" width="6.81640625" bestFit="1" customWidth="1"/>
    <col min="755" max="755" width="7.1796875" bestFit="1" customWidth="1"/>
    <col min="756" max="756" width="6.54296875" bestFit="1" customWidth="1"/>
    <col min="757" max="758" width="7.1796875" bestFit="1" customWidth="1"/>
    <col min="759" max="759" width="6.54296875" bestFit="1" customWidth="1"/>
    <col min="760" max="760" width="6.81640625" bestFit="1" customWidth="1"/>
    <col min="761" max="761" width="7.1796875" bestFit="1" customWidth="1"/>
    <col min="762" max="762" width="6.54296875" bestFit="1" customWidth="1"/>
    <col min="763" max="763" width="6.81640625" bestFit="1" customWidth="1"/>
    <col min="764" max="764" width="7.1796875" bestFit="1" customWidth="1"/>
    <col min="765" max="765" width="6.54296875" bestFit="1" customWidth="1"/>
    <col min="766" max="766" width="6.81640625" bestFit="1" customWidth="1"/>
    <col min="767" max="767" width="7.1796875" bestFit="1" customWidth="1"/>
    <col min="768" max="769" width="6.54296875" bestFit="1" customWidth="1"/>
    <col min="770" max="771" width="6.81640625" bestFit="1" customWidth="1"/>
    <col min="772" max="773" width="7.1796875" bestFit="1" customWidth="1"/>
    <col min="774" max="774" width="6.54296875" bestFit="1" customWidth="1"/>
    <col min="775" max="775" width="6.81640625" bestFit="1" customWidth="1"/>
    <col min="776" max="776" width="7.1796875" bestFit="1" customWidth="1"/>
    <col min="777" max="777" width="6.54296875" bestFit="1" customWidth="1"/>
    <col min="778" max="778" width="6.81640625" bestFit="1" customWidth="1"/>
    <col min="779" max="779" width="7.1796875" bestFit="1" customWidth="1"/>
    <col min="780" max="780" width="6.54296875" bestFit="1" customWidth="1"/>
    <col min="781" max="781" width="6.81640625" bestFit="1" customWidth="1"/>
    <col min="782" max="782" width="7.1796875" bestFit="1" customWidth="1"/>
    <col min="783" max="783" width="6.54296875" bestFit="1" customWidth="1"/>
    <col min="784" max="784" width="6.81640625" bestFit="1" customWidth="1"/>
    <col min="785" max="785" width="7.1796875" bestFit="1" customWidth="1"/>
    <col min="786" max="786" width="6.54296875" bestFit="1" customWidth="1"/>
    <col min="787" max="787" width="6.81640625" bestFit="1" customWidth="1"/>
    <col min="788" max="788" width="7.1796875" bestFit="1" customWidth="1"/>
    <col min="789" max="789" width="6.54296875" bestFit="1" customWidth="1"/>
    <col min="790" max="790" width="6.81640625" bestFit="1" customWidth="1"/>
    <col min="791" max="791" width="7.1796875" bestFit="1" customWidth="1"/>
    <col min="792" max="792" width="6.54296875" bestFit="1" customWidth="1"/>
    <col min="793" max="793" width="6.81640625" bestFit="1" customWidth="1"/>
    <col min="794" max="794" width="7.1796875" bestFit="1" customWidth="1"/>
    <col min="795" max="795" width="6.54296875" bestFit="1" customWidth="1"/>
    <col min="796" max="796" width="6.81640625" bestFit="1" customWidth="1"/>
    <col min="797" max="797" width="7.1796875" bestFit="1" customWidth="1"/>
    <col min="798" max="798" width="6.54296875" bestFit="1" customWidth="1"/>
    <col min="799" max="799" width="6.81640625" bestFit="1" customWidth="1"/>
    <col min="800" max="800" width="7.1796875" bestFit="1" customWidth="1"/>
    <col min="801" max="801" width="6.54296875" bestFit="1" customWidth="1"/>
    <col min="802" max="802" width="6.81640625" bestFit="1" customWidth="1"/>
    <col min="803" max="803" width="7.1796875" bestFit="1" customWidth="1"/>
    <col min="804" max="804" width="6.54296875" bestFit="1" customWidth="1"/>
    <col min="805" max="805" width="6.81640625" bestFit="1" customWidth="1"/>
    <col min="806" max="806" width="7.1796875" bestFit="1" customWidth="1"/>
    <col min="807" max="807" width="6.54296875" bestFit="1" customWidth="1"/>
    <col min="808" max="808" width="6.81640625" bestFit="1" customWidth="1"/>
    <col min="809" max="809" width="7.1796875" bestFit="1" customWidth="1"/>
    <col min="810" max="810" width="6.54296875" bestFit="1" customWidth="1"/>
    <col min="811" max="811" width="6.81640625" bestFit="1" customWidth="1"/>
    <col min="812" max="812" width="7.1796875" bestFit="1" customWidth="1"/>
    <col min="813" max="814" width="6.54296875" bestFit="1" customWidth="1"/>
    <col min="815" max="816" width="6.81640625" bestFit="1" customWidth="1"/>
    <col min="817" max="818" width="7.1796875" bestFit="1" customWidth="1"/>
    <col min="819" max="819" width="6.54296875" bestFit="1" customWidth="1"/>
    <col min="820" max="820" width="6.81640625" bestFit="1" customWidth="1"/>
    <col min="821" max="821" width="7.1796875" bestFit="1" customWidth="1"/>
    <col min="822" max="822" width="6.54296875" bestFit="1" customWidth="1"/>
    <col min="823" max="823" width="6.81640625" bestFit="1" customWidth="1"/>
    <col min="824" max="824" width="7.1796875" bestFit="1" customWidth="1"/>
    <col min="825" max="825" width="6.54296875" bestFit="1" customWidth="1"/>
    <col min="826" max="826" width="6.81640625" bestFit="1" customWidth="1"/>
    <col min="827" max="827" width="7.1796875" bestFit="1" customWidth="1"/>
    <col min="828" max="828" width="6.54296875" bestFit="1" customWidth="1"/>
    <col min="829" max="829" width="6.81640625" bestFit="1" customWidth="1"/>
    <col min="830" max="830" width="7.1796875" bestFit="1" customWidth="1"/>
    <col min="831" max="831" width="6.54296875" bestFit="1" customWidth="1"/>
    <col min="832" max="832" width="6.81640625" bestFit="1" customWidth="1"/>
    <col min="833" max="833" width="7.1796875" bestFit="1" customWidth="1"/>
    <col min="834" max="834" width="6.54296875" bestFit="1" customWidth="1"/>
    <col min="835" max="835" width="6.81640625" bestFit="1" customWidth="1"/>
    <col min="836" max="836" width="7.1796875" bestFit="1" customWidth="1"/>
    <col min="837" max="837" width="6.54296875" bestFit="1" customWidth="1"/>
    <col min="838" max="838" width="6.81640625" bestFit="1" customWidth="1"/>
    <col min="839" max="839" width="7.1796875" bestFit="1" customWidth="1"/>
    <col min="840" max="840" width="6.54296875" bestFit="1" customWidth="1"/>
    <col min="841" max="841" width="6.81640625" bestFit="1" customWidth="1"/>
    <col min="842" max="842" width="7.1796875" bestFit="1" customWidth="1"/>
    <col min="843" max="843" width="6.54296875" bestFit="1" customWidth="1"/>
    <col min="844" max="844" width="6.81640625" bestFit="1" customWidth="1"/>
    <col min="845" max="845" width="7.1796875" bestFit="1" customWidth="1"/>
    <col min="846" max="846" width="6.54296875" bestFit="1" customWidth="1"/>
    <col min="847" max="847" width="6.81640625" bestFit="1" customWidth="1"/>
    <col min="848" max="848" width="7.1796875" bestFit="1" customWidth="1"/>
    <col min="849" max="849" width="6.54296875" bestFit="1" customWidth="1"/>
    <col min="850" max="850" width="6.81640625" bestFit="1" customWidth="1"/>
    <col min="851" max="851" width="7.1796875" bestFit="1" customWidth="1"/>
    <col min="852" max="852" width="6.54296875" bestFit="1" customWidth="1"/>
    <col min="853" max="853" width="6.81640625" bestFit="1" customWidth="1"/>
    <col min="854" max="854" width="7.1796875" bestFit="1" customWidth="1"/>
    <col min="855" max="855" width="6.54296875" bestFit="1" customWidth="1"/>
    <col min="856" max="856" width="6.81640625" bestFit="1" customWidth="1"/>
    <col min="857" max="857" width="7.1796875" bestFit="1" customWidth="1"/>
    <col min="858" max="858" width="6.54296875" bestFit="1" customWidth="1"/>
    <col min="859" max="859" width="6.81640625" bestFit="1" customWidth="1"/>
    <col min="860" max="860" width="7.1796875" bestFit="1" customWidth="1"/>
    <col min="861" max="861" width="6.54296875" bestFit="1" customWidth="1"/>
    <col min="862" max="862" width="6.81640625" bestFit="1" customWidth="1"/>
    <col min="863" max="863" width="7.1796875" bestFit="1" customWidth="1"/>
    <col min="864" max="864" width="6.54296875" bestFit="1" customWidth="1"/>
    <col min="865" max="865" width="6.81640625" bestFit="1" customWidth="1"/>
    <col min="866" max="866" width="7.1796875" bestFit="1" customWidth="1"/>
    <col min="867" max="867" width="6.54296875" bestFit="1" customWidth="1"/>
    <col min="868" max="868" width="6.81640625" bestFit="1" customWidth="1"/>
    <col min="869" max="869" width="7.1796875" bestFit="1" customWidth="1"/>
    <col min="870" max="870" width="6.54296875" bestFit="1" customWidth="1"/>
    <col min="871" max="871" width="6.81640625" bestFit="1" customWidth="1"/>
    <col min="872" max="872" width="7.1796875" bestFit="1" customWidth="1"/>
    <col min="873" max="873" width="6.54296875" bestFit="1" customWidth="1"/>
    <col min="874" max="874" width="6.81640625" bestFit="1" customWidth="1"/>
    <col min="875" max="875" width="7.1796875" bestFit="1" customWidth="1"/>
    <col min="876" max="876" width="6.54296875" bestFit="1" customWidth="1"/>
    <col min="877" max="877" width="6.81640625" bestFit="1" customWidth="1"/>
    <col min="878" max="878" width="7.1796875" bestFit="1" customWidth="1"/>
    <col min="879" max="879" width="6.54296875" bestFit="1" customWidth="1"/>
    <col min="880" max="880" width="6.81640625" bestFit="1" customWidth="1"/>
    <col min="881" max="881" width="7.1796875" bestFit="1" customWidth="1"/>
    <col min="882" max="882" width="6.54296875" bestFit="1" customWidth="1"/>
    <col min="883" max="883" width="6.81640625" bestFit="1" customWidth="1"/>
    <col min="884" max="884" width="7.1796875" bestFit="1" customWidth="1"/>
    <col min="885" max="885" width="6.54296875" bestFit="1" customWidth="1"/>
    <col min="886" max="886" width="6.81640625" bestFit="1" customWidth="1"/>
    <col min="887" max="887" width="7.1796875" bestFit="1" customWidth="1"/>
    <col min="888" max="888" width="6.54296875" bestFit="1" customWidth="1"/>
    <col min="889" max="889" width="6.81640625" bestFit="1" customWidth="1"/>
    <col min="890" max="890" width="7.1796875" bestFit="1" customWidth="1"/>
    <col min="891" max="891" width="6.54296875" bestFit="1" customWidth="1"/>
    <col min="892" max="892" width="6.81640625" bestFit="1" customWidth="1"/>
    <col min="893" max="893" width="7.1796875" bestFit="1" customWidth="1"/>
    <col min="894" max="894" width="6.54296875" bestFit="1" customWidth="1"/>
    <col min="895" max="895" width="6.81640625" bestFit="1" customWidth="1"/>
    <col min="896" max="896" width="7.1796875" bestFit="1" customWidth="1"/>
    <col min="897" max="897" width="6.54296875" bestFit="1" customWidth="1"/>
    <col min="898" max="898" width="6.81640625" bestFit="1" customWidth="1"/>
    <col min="899" max="899" width="7.1796875" bestFit="1" customWidth="1"/>
    <col min="900" max="900" width="6.54296875" bestFit="1" customWidth="1"/>
    <col min="901" max="901" width="6.81640625" bestFit="1" customWidth="1"/>
    <col min="902" max="902" width="7.1796875" bestFit="1" customWidth="1"/>
    <col min="903" max="903" width="6.54296875" bestFit="1" customWidth="1"/>
    <col min="904" max="904" width="6.81640625" bestFit="1" customWidth="1"/>
    <col min="905" max="905" width="7.1796875" bestFit="1" customWidth="1"/>
    <col min="906" max="906" width="6.54296875" bestFit="1" customWidth="1"/>
    <col min="907" max="907" width="6.81640625" bestFit="1" customWidth="1"/>
    <col min="908" max="908" width="7.1796875" bestFit="1" customWidth="1"/>
    <col min="909" max="909" width="6.54296875" bestFit="1" customWidth="1"/>
    <col min="910" max="910" width="6.81640625" bestFit="1" customWidth="1"/>
    <col min="911" max="911" width="7.1796875" bestFit="1" customWidth="1"/>
    <col min="912" max="912" width="6.54296875" bestFit="1" customWidth="1"/>
    <col min="913" max="913" width="6.81640625" bestFit="1" customWidth="1"/>
    <col min="914" max="914" width="7.1796875" bestFit="1" customWidth="1"/>
    <col min="915" max="915" width="6.54296875" bestFit="1" customWidth="1"/>
    <col min="916" max="916" width="6.81640625" bestFit="1" customWidth="1"/>
    <col min="917" max="917" width="7.1796875" bestFit="1" customWidth="1"/>
    <col min="918" max="918" width="6.54296875" bestFit="1" customWidth="1"/>
    <col min="919" max="919" width="6.81640625" bestFit="1" customWidth="1"/>
    <col min="920" max="920" width="7.1796875" bestFit="1" customWidth="1"/>
    <col min="921" max="921" width="6.54296875" bestFit="1" customWidth="1"/>
    <col min="922" max="922" width="6.81640625" bestFit="1" customWidth="1"/>
    <col min="923" max="923" width="7.1796875" bestFit="1" customWidth="1"/>
    <col min="924" max="924" width="6.54296875" bestFit="1" customWidth="1"/>
    <col min="925" max="925" width="6.81640625" bestFit="1" customWidth="1"/>
    <col min="926" max="926" width="7.1796875" bestFit="1" customWidth="1"/>
    <col min="927" max="927" width="6.54296875" bestFit="1" customWidth="1"/>
    <col min="928" max="928" width="6.81640625" bestFit="1" customWidth="1"/>
    <col min="929" max="929" width="7.1796875" bestFit="1" customWidth="1"/>
    <col min="930" max="931" width="6.54296875" bestFit="1" customWidth="1"/>
    <col min="932" max="933" width="6.81640625" bestFit="1" customWidth="1"/>
    <col min="934" max="935" width="7.1796875" bestFit="1" customWidth="1"/>
    <col min="936" max="936" width="6.54296875" bestFit="1" customWidth="1"/>
    <col min="937" max="937" width="6.81640625" bestFit="1" customWidth="1"/>
    <col min="938" max="938" width="7.1796875" bestFit="1" customWidth="1"/>
    <col min="939" max="939" width="6.54296875" bestFit="1" customWidth="1"/>
    <col min="940" max="940" width="6.81640625" bestFit="1" customWidth="1"/>
    <col min="941" max="941" width="7.1796875" bestFit="1" customWidth="1"/>
    <col min="942" max="942" width="6.54296875" bestFit="1" customWidth="1"/>
    <col min="943" max="943" width="6.81640625" bestFit="1" customWidth="1"/>
    <col min="944" max="944" width="7.1796875" bestFit="1" customWidth="1"/>
    <col min="945" max="945" width="6.54296875" bestFit="1" customWidth="1"/>
    <col min="946" max="946" width="6.81640625" bestFit="1" customWidth="1"/>
    <col min="947" max="947" width="7.1796875" bestFit="1" customWidth="1"/>
    <col min="948" max="948" width="6.54296875" bestFit="1" customWidth="1"/>
    <col min="949" max="949" width="6.81640625" bestFit="1" customWidth="1"/>
    <col min="950" max="950" width="7.1796875" bestFit="1" customWidth="1"/>
    <col min="951" max="951" width="6.54296875" bestFit="1" customWidth="1"/>
    <col min="952" max="952" width="6.81640625" bestFit="1" customWidth="1"/>
    <col min="953" max="953" width="7.1796875" bestFit="1" customWidth="1"/>
    <col min="954" max="955" width="6.54296875" bestFit="1" customWidth="1"/>
    <col min="956" max="957" width="6.81640625" bestFit="1" customWidth="1"/>
    <col min="958" max="959" width="7.1796875" bestFit="1" customWidth="1"/>
    <col min="960" max="960" width="6.54296875" bestFit="1" customWidth="1"/>
    <col min="961" max="961" width="6.81640625" bestFit="1" customWidth="1"/>
    <col min="962" max="962" width="7.1796875" bestFit="1" customWidth="1"/>
    <col min="963" max="963" width="6.54296875" bestFit="1" customWidth="1"/>
    <col min="964" max="964" width="6.81640625" bestFit="1" customWidth="1"/>
    <col min="965" max="965" width="7.1796875" bestFit="1" customWidth="1"/>
    <col min="966" max="966" width="6.54296875" bestFit="1" customWidth="1"/>
    <col min="967" max="967" width="6.81640625" bestFit="1" customWidth="1"/>
    <col min="968" max="968" width="7.1796875" bestFit="1" customWidth="1"/>
    <col min="969" max="969" width="6.54296875" bestFit="1" customWidth="1"/>
    <col min="970" max="970" width="6.81640625" bestFit="1" customWidth="1"/>
    <col min="971" max="971" width="7.1796875" bestFit="1" customWidth="1"/>
    <col min="972" max="972" width="6.54296875" bestFit="1" customWidth="1"/>
    <col min="973" max="973" width="6.81640625" bestFit="1" customWidth="1"/>
    <col min="974" max="974" width="7.1796875" bestFit="1" customWidth="1"/>
    <col min="975" max="975" width="6.54296875" bestFit="1" customWidth="1"/>
    <col min="976" max="976" width="6.81640625" bestFit="1" customWidth="1"/>
    <col min="977" max="977" width="7.1796875" bestFit="1" customWidth="1"/>
    <col min="978" max="978" width="6.54296875" bestFit="1" customWidth="1"/>
    <col min="979" max="979" width="6.81640625" bestFit="1" customWidth="1"/>
    <col min="980" max="980" width="7.1796875" bestFit="1" customWidth="1"/>
    <col min="981" max="981" width="6.54296875" bestFit="1" customWidth="1"/>
    <col min="982" max="982" width="6.81640625" bestFit="1" customWidth="1"/>
    <col min="983" max="983" width="7.1796875" bestFit="1" customWidth="1"/>
    <col min="984" max="984" width="6.54296875" bestFit="1" customWidth="1"/>
    <col min="985" max="985" width="6.81640625" bestFit="1" customWidth="1"/>
    <col min="986" max="986" width="7.1796875" bestFit="1" customWidth="1"/>
    <col min="987" max="987" width="6.54296875" bestFit="1" customWidth="1"/>
    <col min="988" max="988" width="6.81640625" bestFit="1" customWidth="1"/>
    <col min="989" max="989" width="7.1796875" bestFit="1" customWidth="1"/>
    <col min="990" max="990" width="6.54296875" bestFit="1" customWidth="1"/>
    <col min="991" max="991" width="6.81640625" bestFit="1" customWidth="1"/>
    <col min="992" max="992" width="7.1796875" bestFit="1" customWidth="1"/>
    <col min="993" max="993" width="6.54296875" bestFit="1" customWidth="1"/>
    <col min="994" max="994" width="6.81640625" bestFit="1" customWidth="1"/>
    <col min="995" max="995" width="7.1796875" bestFit="1" customWidth="1"/>
    <col min="996" max="996" width="6.54296875" bestFit="1" customWidth="1"/>
    <col min="997" max="997" width="6.81640625" bestFit="1" customWidth="1"/>
    <col min="998" max="998" width="7.1796875" bestFit="1" customWidth="1"/>
    <col min="999" max="999" width="6.54296875" bestFit="1" customWidth="1"/>
    <col min="1000" max="1000" width="6.81640625" bestFit="1" customWidth="1"/>
    <col min="1001" max="1001" width="7.1796875" bestFit="1" customWidth="1"/>
    <col min="1002" max="1002" width="6.54296875" bestFit="1" customWidth="1"/>
    <col min="1003" max="1003" width="6.81640625" bestFit="1" customWidth="1"/>
    <col min="1004" max="1004" width="7.1796875" bestFit="1" customWidth="1"/>
    <col min="1005" max="1005" width="6.54296875" bestFit="1" customWidth="1"/>
    <col min="1006" max="1006" width="6.81640625" bestFit="1" customWidth="1"/>
    <col min="1007" max="1007" width="7.1796875" bestFit="1" customWidth="1"/>
    <col min="1008" max="1008" width="6.54296875" bestFit="1" customWidth="1"/>
    <col min="1009" max="1009" width="6.81640625" bestFit="1" customWidth="1"/>
    <col min="1010" max="1010" width="7.1796875" bestFit="1" customWidth="1"/>
    <col min="1011" max="1011" width="6.54296875" bestFit="1" customWidth="1"/>
    <col min="1012" max="1012" width="6.81640625" bestFit="1" customWidth="1"/>
    <col min="1013" max="1013" width="7.1796875" bestFit="1" customWidth="1"/>
    <col min="1014" max="1014" width="6.54296875" bestFit="1" customWidth="1"/>
    <col min="1015" max="1015" width="6.81640625" bestFit="1" customWidth="1"/>
    <col min="1016" max="1016" width="7.1796875" bestFit="1" customWidth="1"/>
    <col min="1017" max="1017" width="6.54296875" bestFit="1" customWidth="1"/>
    <col min="1018" max="1018" width="6.81640625" bestFit="1" customWidth="1"/>
    <col min="1019" max="1019" width="7.1796875" bestFit="1" customWidth="1"/>
    <col min="1020" max="1020" width="6.54296875" bestFit="1" customWidth="1"/>
    <col min="1021" max="1021" width="6.81640625" bestFit="1" customWidth="1"/>
    <col min="1022" max="1022" width="7.1796875" bestFit="1" customWidth="1"/>
    <col min="1023" max="1023" width="6.54296875" bestFit="1" customWidth="1"/>
    <col min="1024" max="1024" width="6.81640625" bestFit="1" customWidth="1"/>
    <col min="1025" max="1025" width="7.1796875" bestFit="1" customWidth="1"/>
    <col min="1026" max="1026" width="6.54296875" bestFit="1" customWidth="1"/>
    <col min="1027" max="1027" width="6.81640625" bestFit="1" customWidth="1"/>
    <col min="1028" max="1028" width="7.1796875" bestFit="1" customWidth="1"/>
    <col min="1029" max="1029" width="6.54296875" bestFit="1" customWidth="1"/>
    <col min="1030" max="1030" width="6.81640625" bestFit="1" customWidth="1"/>
    <col min="1031" max="1031" width="7.1796875" bestFit="1" customWidth="1"/>
    <col min="1032" max="1032" width="6.54296875" bestFit="1" customWidth="1"/>
    <col min="1033" max="1033" width="6.81640625" bestFit="1" customWidth="1"/>
    <col min="1034" max="1034" width="7.1796875" bestFit="1" customWidth="1"/>
    <col min="1035" max="1035" width="6.54296875" bestFit="1" customWidth="1"/>
    <col min="1036" max="1036" width="6.81640625" bestFit="1" customWidth="1"/>
    <col min="1037" max="1037" width="7.1796875" bestFit="1" customWidth="1"/>
    <col min="1038" max="1038" width="6.54296875" bestFit="1" customWidth="1"/>
    <col min="1039" max="1039" width="6.81640625" bestFit="1" customWidth="1"/>
    <col min="1040" max="1040" width="7.1796875" bestFit="1" customWidth="1"/>
    <col min="1041" max="1041" width="6.54296875" bestFit="1" customWidth="1"/>
    <col min="1042" max="1042" width="6.81640625" bestFit="1" customWidth="1"/>
    <col min="1043" max="1043" width="7.1796875" bestFit="1" customWidth="1"/>
    <col min="1044" max="1044" width="6.54296875" bestFit="1" customWidth="1"/>
    <col min="1045" max="1045" width="6.81640625" bestFit="1" customWidth="1"/>
    <col min="1046" max="1046" width="7.1796875" bestFit="1" customWidth="1"/>
    <col min="1047" max="1047" width="6.54296875" bestFit="1" customWidth="1"/>
    <col min="1048" max="1048" width="6.81640625" bestFit="1" customWidth="1"/>
    <col min="1049" max="1049" width="7.1796875" bestFit="1" customWidth="1"/>
    <col min="1050" max="1050" width="6.54296875" bestFit="1" customWidth="1"/>
    <col min="1051" max="1051" width="6.81640625" bestFit="1" customWidth="1"/>
    <col min="1052" max="1052" width="7.1796875" bestFit="1" customWidth="1"/>
    <col min="1053" max="1053" width="6.54296875" bestFit="1" customWidth="1"/>
    <col min="1054" max="1054" width="6.81640625" bestFit="1" customWidth="1"/>
    <col min="1055" max="1055" width="7.1796875" bestFit="1" customWidth="1"/>
    <col min="1056" max="1056" width="6.54296875" bestFit="1" customWidth="1"/>
    <col min="1057" max="1057" width="6.81640625" bestFit="1" customWidth="1"/>
    <col min="1058" max="1058" width="7.1796875" bestFit="1" customWidth="1"/>
    <col min="1059" max="1059" width="6.54296875" bestFit="1" customWidth="1"/>
    <col min="1060" max="1060" width="6.81640625" bestFit="1" customWidth="1"/>
    <col min="1061" max="1061" width="7.1796875" bestFit="1" customWidth="1"/>
    <col min="1062" max="1062" width="6.54296875" bestFit="1" customWidth="1"/>
    <col min="1063" max="1063" width="6.81640625" bestFit="1" customWidth="1"/>
    <col min="1064" max="1064" width="7.1796875" bestFit="1" customWidth="1"/>
    <col min="1065" max="1065" width="6.54296875" bestFit="1" customWidth="1"/>
    <col min="1066" max="1066" width="6.81640625" bestFit="1" customWidth="1"/>
    <col min="1067" max="1067" width="7.1796875" bestFit="1" customWidth="1"/>
    <col min="1068" max="1068" width="6.54296875" bestFit="1" customWidth="1"/>
    <col min="1069" max="1069" width="6.81640625" bestFit="1" customWidth="1"/>
    <col min="1070" max="1070" width="7.1796875" bestFit="1" customWidth="1"/>
    <col min="1071" max="1071" width="6.54296875" bestFit="1" customWidth="1"/>
    <col min="1072" max="1072" width="6.81640625" bestFit="1" customWidth="1"/>
    <col min="1073" max="1073" width="7.1796875" bestFit="1" customWidth="1"/>
    <col min="1074" max="1074" width="6.54296875" bestFit="1" customWidth="1"/>
    <col min="1075" max="1075" width="6.81640625" bestFit="1" customWidth="1"/>
    <col min="1076" max="1076" width="7.1796875" bestFit="1" customWidth="1"/>
    <col min="1077" max="1077" width="6.54296875" bestFit="1" customWidth="1"/>
    <col min="1078" max="1078" width="6.81640625" bestFit="1" customWidth="1"/>
    <col min="1079" max="1079" width="7.1796875" bestFit="1" customWidth="1"/>
    <col min="1080" max="1080" width="6.54296875" bestFit="1" customWidth="1"/>
    <col min="1081" max="1081" width="6.81640625" bestFit="1" customWidth="1"/>
    <col min="1082" max="1082" width="7.1796875" bestFit="1" customWidth="1"/>
    <col min="1083" max="1083" width="6.54296875" bestFit="1" customWidth="1"/>
    <col min="1084" max="1084" width="6.81640625" bestFit="1" customWidth="1"/>
    <col min="1085" max="1085" width="7.1796875" bestFit="1" customWidth="1"/>
    <col min="1086" max="1086" width="6.54296875" bestFit="1" customWidth="1"/>
    <col min="1087" max="1087" width="6.81640625" bestFit="1" customWidth="1"/>
    <col min="1088" max="1088" width="7.1796875" bestFit="1" customWidth="1"/>
    <col min="1089" max="1089" width="6.54296875" bestFit="1" customWidth="1"/>
    <col min="1090" max="1090" width="6.81640625" bestFit="1" customWidth="1"/>
    <col min="1091" max="1091" width="7.1796875" bestFit="1" customWidth="1"/>
    <col min="1092" max="1092" width="6.54296875" bestFit="1" customWidth="1"/>
    <col min="1093" max="1093" width="6.81640625" bestFit="1" customWidth="1"/>
    <col min="1094" max="1094" width="7.1796875" bestFit="1" customWidth="1"/>
    <col min="1095" max="1095" width="6.54296875" bestFit="1" customWidth="1"/>
    <col min="1096" max="1096" width="6.81640625" bestFit="1" customWidth="1"/>
    <col min="1097" max="1097" width="7.1796875" bestFit="1" customWidth="1"/>
  </cols>
  <sheetData>
    <row r="1" spans="1:9" ht="18.5" x14ac:dyDescent="0.35">
      <c r="A1" s="5" t="s">
        <v>1</v>
      </c>
      <c r="B1" s="5" t="s">
        <v>5</v>
      </c>
      <c r="C1" s="8" t="s">
        <v>0</v>
      </c>
      <c r="D1" s="8" t="s">
        <v>3</v>
      </c>
      <c r="E1" s="15" t="s">
        <v>4</v>
      </c>
      <c r="F1" s="15" t="s">
        <v>7</v>
      </c>
      <c r="G1"/>
      <c r="H1" t="s">
        <v>37</v>
      </c>
    </row>
    <row r="2" spans="1:9" ht="18.5" x14ac:dyDescent="0.45">
      <c r="A2" s="6">
        <v>14624</v>
      </c>
      <c r="B2" s="6" t="s">
        <v>6</v>
      </c>
      <c r="C2" s="9">
        <v>44674</v>
      </c>
      <c r="D2" s="13">
        <v>21</v>
      </c>
      <c r="E2" s="20">
        <v>56.99</v>
      </c>
      <c r="F2" s="16">
        <f>D2*E2</f>
        <v>1196.79</v>
      </c>
      <c r="G2" s="29"/>
      <c r="H2" s="29" t="str">
        <f>IF(COUNTIF($A$2:A2,$A2)&gt;1,"Duplicadas","Não duplicado")</f>
        <v>Não duplicado</v>
      </c>
      <c r="I2" t="str">
        <f>_xlfn.TEXTJOIN(".",TRUE,A2,B2,D2,TEXT(C2,"dd-mmm-aa"),DOLLAR(E2,2),DOLLAR(F2,2))</f>
        <v>14624.Panela De Pressão.21.23-abr-22.R$ 56,99.R$ 1.196,79</v>
      </c>
    </row>
    <row r="3" spans="1:9" ht="18.5" x14ac:dyDescent="0.45">
      <c r="A3" s="6">
        <v>3886</v>
      </c>
      <c r="B3" s="6" t="s">
        <v>22</v>
      </c>
      <c r="C3" s="9">
        <v>44656</v>
      </c>
      <c r="D3" s="13">
        <v>12</v>
      </c>
      <c r="E3" s="19">
        <v>98.9</v>
      </c>
      <c r="F3" s="16">
        <f>D3*E3</f>
        <v>1186.8000000000002</v>
      </c>
      <c r="G3" s="29"/>
      <c r="H3" s="29" t="str">
        <f>IF(COUNTIF($A$2:A3,$A3)&gt;1,"Duplicadas","Não duplicado")</f>
        <v>Não duplicado</v>
      </c>
      <c r="I3" t="str">
        <f t="shared" ref="I3:I27" si="0">_xlfn.TEXTJOIN(".",TRUE,A3,B3,D3,TEXT(C3,"dd-mmm-aa"),DOLLAR(E3,2),DOLLAR(F3,2))</f>
        <v>3886.Calça Jeans Feminina.12.05-abr-22.R$ 98,90.R$ 1.186,80</v>
      </c>
    </row>
    <row r="4" spans="1:9" ht="18.5" x14ac:dyDescent="0.45">
      <c r="A4" s="6">
        <v>2345</v>
      </c>
      <c r="B4" s="6" t="s">
        <v>28</v>
      </c>
      <c r="C4" s="9">
        <v>44649</v>
      </c>
      <c r="D4" s="13">
        <v>21</v>
      </c>
      <c r="E4" s="18">
        <v>143.12</v>
      </c>
      <c r="F4" s="16">
        <f>D4*E4</f>
        <v>3005.52</v>
      </c>
      <c r="G4" s="29"/>
      <c r="H4" s="29" t="str">
        <f>IF(COUNTIF($A$2:A4,$A4)&gt;1,"Duplicadas","Não duplicado")</f>
        <v>Não duplicado</v>
      </c>
      <c r="I4" t="str">
        <f t="shared" si="0"/>
        <v>2345.Caixa de ferramentas Fercar.21.29-mar-22.R$ 143,12.R$ 3.005,52</v>
      </c>
    </row>
    <row r="5" spans="1:9" ht="18.5" x14ac:dyDescent="0.45">
      <c r="A5" s="6">
        <v>7530</v>
      </c>
      <c r="B5" s="6" t="s">
        <v>27</v>
      </c>
      <c r="C5" s="9">
        <v>44645</v>
      </c>
      <c r="D5" s="13">
        <v>34</v>
      </c>
      <c r="E5" s="18">
        <v>175</v>
      </c>
      <c r="F5" s="16">
        <f>D5*E5</f>
        <v>5950</v>
      </c>
      <c r="G5" s="29"/>
      <c r="H5" s="29" t="str">
        <f>IF(COUNTIF($A$2:A5,$A5)&gt;1,"Duplicadas","Não duplicado")</f>
        <v>Não duplicado</v>
      </c>
      <c r="I5" t="str">
        <f t="shared" si="0"/>
        <v>7530.Terno Slim Microfibra.34.25-mar-22.R$ 175,00.R$ 5.950,00</v>
      </c>
    </row>
    <row r="6" spans="1:9" ht="18.5" x14ac:dyDescent="0.45">
      <c r="A6" s="6">
        <v>2290</v>
      </c>
      <c r="B6" s="6" t="s">
        <v>26</v>
      </c>
      <c r="C6" s="9">
        <v>44641</v>
      </c>
      <c r="D6" s="13">
        <v>41</v>
      </c>
      <c r="E6" s="19">
        <v>53.99</v>
      </c>
      <c r="F6" s="16">
        <f>D6*E6</f>
        <v>2213.59</v>
      </c>
      <c r="G6" s="29"/>
      <c r="H6" s="29" t="str">
        <f>IF(COUNTIF($A$2:A6,$A6)&gt;1,"Duplicadas","Não duplicado")</f>
        <v>Não duplicado</v>
      </c>
      <c r="I6" t="str">
        <f t="shared" si="0"/>
        <v>2290.Camiseta Cinta Modeladora.41.21-mar-22.R$ 53,99.R$ 2.213,59</v>
      </c>
    </row>
    <row r="7" spans="1:9" ht="18.5" x14ac:dyDescent="0.45">
      <c r="A7" s="6">
        <v>11340</v>
      </c>
      <c r="B7" s="6" t="s">
        <v>25</v>
      </c>
      <c r="C7" s="9">
        <v>44637</v>
      </c>
      <c r="D7" s="13">
        <v>14</v>
      </c>
      <c r="E7" s="19">
        <v>149.9</v>
      </c>
      <c r="F7" s="16">
        <f>D7*E7</f>
        <v>2098.6</v>
      </c>
      <c r="G7" s="29"/>
      <c r="H7" s="29" t="str">
        <f>IF(COUNTIF($A$2:A7,$A7)&gt;1,"Duplicadas","Não duplicado")</f>
        <v>Não duplicado</v>
      </c>
      <c r="I7" t="str">
        <f t="shared" si="0"/>
        <v>11340.Botas Feminina Montaria.14.17-mar-22.R$ 149,90.R$ 2.098,60</v>
      </c>
    </row>
    <row r="8" spans="1:9" ht="18.5" x14ac:dyDescent="0.45">
      <c r="A8" s="6">
        <v>5740</v>
      </c>
      <c r="B8" s="6" t="s">
        <v>19</v>
      </c>
      <c r="C8" s="9">
        <v>44634</v>
      </c>
      <c r="D8" s="13">
        <v>12</v>
      </c>
      <c r="E8" s="19">
        <v>53.91</v>
      </c>
      <c r="F8" s="16">
        <f>D8*E8</f>
        <v>646.91999999999996</v>
      </c>
      <c r="G8" s="29"/>
      <c r="H8" s="29" t="str">
        <f>IF(COUNTIF($A$2:A8,$A8)&gt;1,"Duplicadas","Não duplicado")</f>
        <v>Não duplicado</v>
      </c>
      <c r="I8" t="str">
        <f t="shared" si="0"/>
        <v>5740.Camiseta Regata.12.14-mar-22.R$ 53,91.R$ 646,92</v>
      </c>
    </row>
    <row r="9" spans="1:9" ht="18.5" x14ac:dyDescent="0.45">
      <c r="A9" s="6">
        <v>15632</v>
      </c>
      <c r="B9" s="6" t="s">
        <v>24</v>
      </c>
      <c r="C9" s="9">
        <v>44633</v>
      </c>
      <c r="D9" s="13">
        <v>18</v>
      </c>
      <c r="E9" s="19">
        <v>99.99</v>
      </c>
      <c r="F9" s="16">
        <f>D9*E9</f>
        <v>1799.82</v>
      </c>
      <c r="G9" s="29"/>
      <c r="H9" s="29" t="str">
        <f>IF(COUNTIF($A$2:A9,$A9)&gt;1,"Duplicadas","Não duplicado")</f>
        <v>Não duplicado</v>
      </c>
      <c r="I9" t="str">
        <f t="shared" si="0"/>
        <v>15632.Corset Corselet Underbust .18.13-mar-22.R$ 99,99.R$ 1.799,82</v>
      </c>
    </row>
    <row r="10" spans="1:9" ht="18.5" x14ac:dyDescent="0.45">
      <c r="A10" s="6">
        <v>5982</v>
      </c>
      <c r="B10" s="6" t="s">
        <v>23</v>
      </c>
      <c r="C10" s="9">
        <v>44629</v>
      </c>
      <c r="D10" s="13">
        <v>9</v>
      </c>
      <c r="E10" s="18">
        <v>50</v>
      </c>
      <c r="F10" s="16">
        <f>D10*E10</f>
        <v>450</v>
      </c>
      <c r="G10" s="29"/>
      <c r="H10" s="29" t="str">
        <f>IF(COUNTIF($A$2:A10,$A10)&gt;1,"Duplicadas","Não duplicado")</f>
        <v>Não duplicado</v>
      </c>
      <c r="I10" t="str">
        <f t="shared" si="0"/>
        <v>5982.Cafeteira Aluminio Extra.9.09-mar-22.R$ 50,00.R$ 450,00</v>
      </c>
    </row>
    <row r="11" spans="1:9" ht="18.5" x14ac:dyDescent="0.45">
      <c r="A11" s="6">
        <v>3886</v>
      </c>
      <c r="B11" s="6" t="s">
        <v>22</v>
      </c>
      <c r="C11" s="9">
        <v>44625</v>
      </c>
      <c r="D11" s="13">
        <v>45</v>
      </c>
      <c r="E11" s="19">
        <v>98.9</v>
      </c>
      <c r="F11" s="16">
        <f>D11*E11</f>
        <v>4450.5</v>
      </c>
      <c r="G11" s="29"/>
      <c r="H11" s="29" t="str">
        <f>IF(COUNTIF($A$2:A11,$A11)&gt;1,"Duplicadas","Não duplicado")</f>
        <v>Duplicadas</v>
      </c>
      <c r="I11" t="str">
        <f t="shared" si="0"/>
        <v>3886.Calça Jeans Feminina.45.05-mar-22.R$ 98,90.R$ 4.450,50</v>
      </c>
    </row>
    <row r="12" spans="1:9" ht="18.5" x14ac:dyDescent="0.45">
      <c r="A12" s="6">
        <v>2714</v>
      </c>
      <c r="B12" s="6" t="s">
        <v>21</v>
      </c>
      <c r="C12" s="9">
        <v>44621</v>
      </c>
      <c r="D12" s="13">
        <v>29</v>
      </c>
      <c r="E12" s="19">
        <v>31.89</v>
      </c>
      <c r="F12" s="16">
        <f>D12*E12</f>
        <v>924.81000000000006</v>
      </c>
      <c r="G12" s="29"/>
      <c r="H12" s="29" t="str">
        <f>IF(COUNTIF($A$2:A12,$A12)&gt;1,"Duplicadas","Não duplicado")</f>
        <v>Não duplicado</v>
      </c>
      <c r="I12" t="str">
        <f t="shared" si="0"/>
        <v>2714.Cobertor Manta Casal.29.01-mar-22.R$ 31,89.R$ 924,81</v>
      </c>
    </row>
    <row r="13" spans="1:9" ht="18.5" x14ac:dyDescent="0.45">
      <c r="A13" s="6">
        <v>13700</v>
      </c>
      <c r="B13" s="6" t="s">
        <v>20</v>
      </c>
      <c r="C13" s="9">
        <v>44614</v>
      </c>
      <c r="D13" s="13">
        <v>12</v>
      </c>
      <c r="E13" s="18">
        <v>102</v>
      </c>
      <c r="F13" s="16">
        <f>D13*E13</f>
        <v>1224</v>
      </c>
      <c r="G13" s="29"/>
      <c r="H13" s="29" t="str">
        <f>IF(COUNTIF($A$2:A13,$A13)&gt;1,"Duplicadas","Não duplicado")</f>
        <v>Não duplicado</v>
      </c>
      <c r="I13" t="str">
        <f t="shared" si="0"/>
        <v>13700.Headset gamer Knup KP-400.12.22-fev-22.R$ 102,00.R$ 1.224,00</v>
      </c>
    </row>
    <row r="14" spans="1:9" ht="18.5" x14ac:dyDescent="0.45">
      <c r="A14" s="6">
        <v>5740</v>
      </c>
      <c r="B14" s="6" t="s">
        <v>19</v>
      </c>
      <c r="C14" s="9">
        <v>44611</v>
      </c>
      <c r="D14" s="13">
        <v>34</v>
      </c>
      <c r="E14" s="19">
        <v>53.91</v>
      </c>
      <c r="F14" s="16">
        <f>D14*E14</f>
        <v>1832.9399999999998</v>
      </c>
      <c r="G14" s="29"/>
      <c r="H14" s="29" t="str">
        <f>IF(COUNTIF($A$2:A14,$A14)&gt;1,"Duplicadas","Não duplicado")</f>
        <v>Duplicadas</v>
      </c>
      <c r="I14" t="str">
        <f t="shared" si="0"/>
        <v>5740.Camiseta Regata.34.19-fev-22.R$ 53,91.R$ 1.832,94</v>
      </c>
    </row>
    <row r="15" spans="1:9" ht="18.5" x14ac:dyDescent="0.45">
      <c r="A15" s="6">
        <v>17608</v>
      </c>
      <c r="B15" s="6" t="s">
        <v>18</v>
      </c>
      <c r="C15" s="9">
        <v>44608</v>
      </c>
      <c r="D15" s="13">
        <v>6</v>
      </c>
      <c r="E15" s="19">
        <v>34.9</v>
      </c>
      <c r="F15" s="16">
        <f>D15*E15</f>
        <v>209.39999999999998</v>
      </c>
      <c r="G15" s="29"/>
      <c r="H15" s="29" t="str">
        <f>IF(COUNTIF($A$2:A15,$A15)&gt;1,"Duplicadas","Não duplicado")</f>
        <v>Não duplicado</v>
      </c>
      <c r="I15" t="str">
        <f t="shared" si="0"/>
        <v>17608.Spray Borrifador Pulverizador.6.16-fev-22.R$ 34,90.R$ 209,40</v>
      </c>
    </row>
    <row r="16" spans="1:9" ht="18.5" x14ac:dyDescent="0.45">
      <c r="A16" s="6">
        <v>12630</v>
      </c>
      <c r="B16" s="6" t="s">
        <v>17</v>
      </c>
      <c r="C16" s="9">
        <v>44605</v>
      </c>
      <c r="D16" s="13">
        <v>3</v>
      </c>
      <c r="E16" s="18">
        <v>999</v>
      </c>
      <c r="F16" s="16">
        <f>D16*E16</f>
        <v>2997</v>
      </c>
      <c r="G16" s="29"/>
      <c r="H16" s="29" t="str">
        <f>IF(COUNTIF($A$2:A16,$A16)&gt;1,"Duplicadas","Não duplicado")</f>
        <v>Não duplicado</v>
      </c>
      <c r="I16" t="str">
        <f t="shared" si="0"/>
        <v>12630.LG K22 Dual SIM 32 GB.3.13-fev-22.R$ 999,00.R$ 2.997,00</v>
      </c>
    </row>
    <row r="17" spans="1:9" ht="18.5" x14ac:dyDescent="0.45">
      <c r="A17" s="6">
        <v>7494</v>
      </c>
      <c r="B17" s="6" t="s">
        <v>10</v>
      </c>
      <c r="C17" s="9">
        <v>44604</v>
      </c>
      <c r="D17" s="13">
        <v>123</v>
      </c>
      <c r="E17" s="18">
        <v>189</v>
      </c>
      <c r="F17" s="16">
        <f>D17*E17</f>
        <v>23247</v>
      </c>
      <c r="G17" s="29"/>
      <c r="H17" s="29" t="str">
        <f>IF(COUNTIF($A$2:A17,$A17)&gt;1,"Duplicadas","Não duplicado")</f>
        <v>Não duplicado</v>
      </c>
      <c r="I17" t="str">
        <f t="shared" si="0"/>
        <v>7494.Terno Slim.123.12-fev-22.R$ 189,00.R$ 23.247,00</v>
      </c>
    </row>
    <row r="18" spans="1:9" ht="18.5" x14ac:dyDescent="0.45">
      <c r="A18" s="6">
        <v>17854</v>
      </c>
      <c r="B18" s="6" t="s">
        <v>16</v>
      </c>
      <c r="C18" s="9">
        <v>44602</v>
      </c>
      <c r="D18" s="13">
        <v>4</v>
      </c>
      <c r="E18" s="19">
        <v>116.99</v>
      </c>
      <c r="F18" s="16">
        <f>D18*E18</f>
        <v>467.96</v>
      </c>
      <c r="G18" s="29"/>
      <c r="H18" s="29" t="str">
        <f>IF(COUNTIF($A$2:A18,$A18)&gt;1,"Duplicadas","Não duplicado")</f>
        <v>Não duplicado</v>
      </c>
      <c r="I18" t="str">
        <f t="shared" si="0"/>
        <v>17854.Moedor De Cafe Manual.4.10-fev-22.R$ 116,99.R$ 467,96</v>
      </c>
    </row>
    <row r="19" spans="1:9" ht="18.5" x14ac:dyDescent="0.45">
      <c r="A19" s="6">
        <v>19160</v>
      </c>
      <c r="B19" s="6" t="s">
        <v>15</v>
      </c>
      <c r="C19" s="9">
        <v>44599</v>
      </c>
      <c r="D19" s="13">
        <v>2</v>
      </c>
      <c r="E19" s="19">
        <v>733.9</v>
      </c>
      <c r="F19" s="16">
        <f>D19*E19</f>
        <v>1467.8</v>
      </c>
      <c r="G19" s="29"/>
      <c r="H19" s="29" t="str">
        <f>IF(COUNTIF($A$2:A19,$A19)&gt;1,"Duplicadas","Não duplicado")</f>
        <v>Não duplicado</v>
      </c>
      <c r="I19" t="str">
        <f t="shared" si="0"/>
        <v>19160.Colchão Casal de espuma.2.07-fev-22.R$ 733,90.R$ 1.467,80</v>
      </c>
    </row>
    <row r="20" spans="1:9" ht="18.5" x14ac:dyDescent="0.45">
      <c r="A20" s="6">
        <v>4226</v>
      </c>
      <c r="B20" s="6" t="s">
        <v>14</v>
      </c>
      <c r="C20" s="9">
        <v>44596</v>
      </c>
      <c r="D20" s="13">
        <v>45</v>
      </c>
      <c r="E20" s="18">
        <v>49</v>
      </c>
      <c r="F20" s="16">
        <f>D20*E20</f>
        <v>2205</v>
      </c>
      <c r="G20" s="29"/>
      <c r="H20" s="29" t="str">
        <f>IF(COUNTIF($A$2:A20,$A20)&gt;1,"Duplicadas","Não duplicado")</f>
        <v>Não duplicado</v>
      </c>
      <c r="I20" t="str">
        <f t="shared" si="0"/>
        <v>4226.Kit De Acessórios Para Banheiro.45.04-fev-22.R$ 49,00.R$ 2.205,00</v>
      </c>
    </row>
    <row r="21" spans="1:9" ht="18.5" x14ac:dyDescent="0.45">
      <c r="A21" s="6">
        <v>9988</v>
      </c>
      <c r="B21" s="6" t="s">
        <v>13</v>
      </c>
      <c r="C21" s="9">
        <v>44593</v>
      </c>
      <c r="D21" s="13">
        <v>31</v>
      </c>
      <c r="E21" s="19">
        <v>56.99</v>
      </c>
      <c r="F21" s="16">
        <f>D21*E21</f>
        <v>1766.69</v>
      </c>
      <c r="G21" s="29"/>
      <c r="H21" s="29" t="str">
        <f>IF(COUNTIF($A$2:A21,$A21)&gt;1,"Duplicadas","Não duplicado")</f>
        <v>Não duplicado</v>
      </c>
      <c r="I21" t="str">
        <f t="shared" si="0"/>
        <v>9988.Panela De Pressão 4,5litros.31.01-fev-22.R$ 56,99.R$ 1.766,69</v>
      </c>
    </row>
    <row r="22" spans="1:9" ht="18.5" x14ac:dyDescent="0.45">
      <c r="A22" s="6">
        <v>14264</v>
      </c>
      <c r="B22" s="6" t="s">
        <v>12</v>
      </c>
      <c r="C22" s="9">
        <v>44587</v>
      </c>
      <c r="D22" s="13">
        <v>23</v>
      </c>
      <c r="E22" s="19">
        <v>165.6</v>
      </c>
      <c r="F22" s="16">
        <f>D22*E22</f>
        <v>3808.7999999999997</v>
      </c>
      <c r="G22" s="29"/>
      <c r="H22" s="29" t="str">
        <f>IF(COUNTIF($A$2:A22,$A22)&gt;1,"Duplicadas","Não duplicado")</f>
        <v>Não duplicado</v>
      </c>
      <c r="I22" t="str">
        <f t="shared" si="0"/>
        <v>14264.Kit 120 Tangas.23.26-jan-22.R$ 165,60.R$ 3.808,80</v>
      </c>
    </row>
    <row r="23" spans="1:9" ht="18.5" x14ac:dyDescent="0.45">
      <c r="A23" s="6">
        <v>4820</v>
      </c>
      <c r="B23" s="6" t="s">
        <v>11</v>
      </c>
      <c r="C23" s="9">
        <v>44582</v>
      </c>
      <c r="D23" s="13">
        <v>20</v>
      </c>
      <c r="E23" s="19">
        <v>37.99</v>
      </c>
      <c r="F23" s="16">
        <f>D23*E23</f>
        <v>759.80000000000007</v>
      </c>
      <c r="G23" s="29"/>
      <c r="H23" s="29" t="str">
        <f>IF(COUNTIF($A$2:A23,$A23)&gt;1,"Duplicadas","Não duplicado")</f>
        <v>Não duplicado</v>
      </c>
      <c r="I23" t="str">
        <f t="shared" si="0"/>
        <v>4820.Kit Bomba A Vácuo Para Vinho.20.21-jan-22.R$ 37,99.R$ 759,80</v>
      </c>
    </row>
    <row r="24" spans="1:9" ht="18.5" x14ac:dyDescent="0.45">
      <c r="A24" s="6">
        <v>7494</v>
      </c>
      <c r="B24" s="6" t="s">
        <v>10</v>
      </c>
      <c r="C24" s="9">
        <v>44577</v>
      </c>
      <c r="D24" s="13">
        <v>123</v>
      </c>
      <c r="E24" s="18">
        <v>189</v>
      </c>
      <c r="F24" s="16">
        <f>D24*E24</f>
        <v>23247</v>
      </c>
      <c r="G24" s="29"/>
      <c r="H24" s="29" t="str">
        <f>IF(COUNTIF($A$2:A24,$A24)&gt;1,"Duplicadas","Não duplicado")</f>
        <v>Duplicadas</v>
      </c>
      <c r="I24" t="str">
        <f t="shared" si="0"/>
        <v>7494.Terno Slim.123.16-jan-22.R$ 189,00.R$ 23.247,00</v>
      </c>
    </row>
    <row r="25" spans="1:9" ht="18.5" x14ac:dyDescent="0.45">
      <c r="A25" s="6">
        <v>4550</v>
      </c>
      <c r="B25" s="12" t="s">
        <v>9</v>
      </c>
      <c r="C25" s="9">
        <v>44572</v>
      </c>
      <c r="D25" s="13">
        <v>12</v>
      </c>
      <c r="E25" s="18">
        <v>1200</v>
      </c>
      <c r="F25" s="16">
        <f>D25*E25</f>
        <v>14400</v>
      </c>
      <c r="G25" s="29"/>
      <c r="H25" s="29" t="str">
        <f>IF(COUNTIF($A$2:A25,$A25)&gt;1,"Duplicadas","Não duplicado")</f>
        <v>Não duplicado</v>
      </c>
      <c r="I25" t="str">
        <f t="shared" si="0"/>
        <v>4550.Xiaomi Redmi 9 (Global).12.11-jan-22.R$ 1.200,00.R$ 14.400,00</v>
      </c>
    </row>
    <row r="26" spans="1:9" ht="18.5" x14ac:dyDescent="0.45">
      <c r="A26" s="6">
        <v>2714</v>
      </c>
      <c r="B26" s="12" t="s">
        <v>8</v>
      </c>
      <c r="C26" s="9">
        <v>44567</v>
      </c>
      <c r="D26" s="13">
        <v>23</v>
      </c>
      <c r="E26" s="19">
        <v>38.770000000000003</v>
      </c>
      <c r="F26" s="16">
        <f>D26*E26</f>
        <v>891.71</v>
      </c>
      <c r="G26" s="29"/>
      <c r="H26" s="29" t="str">
        <f>IF(COUNTIF($A$2:A26,$A26)&gt;1,"Duplicadas","Não duplicado")</f>
        <v>Duplicadas</v>
      </c>
      <c r="I26" t="str">
        <f t="shared" si="0"/>
        <v>2714.Kit 15 Tangas.23.06-jan-22.R$ 38,77.R$ 891,71</v>
      </c>
    </row>
    <row r="27" spans="1:9" ht="18.5" x14ac:dyDescent="0.45">
      <c r="A27" s="6">
        <v>14624</v>
      </c>
      <c r="B27" s="6" t="s">
        <v>6</v>
      </c>
      <c r="C27" s="9">
        <v>44562</v>
      </c>
      <c r="D27" s="13">
        <v>45</v>
      </c>
      <c r="E27" s="20">
        <v>56.99</v>
      </c>
      <c r="F27" s="16">
        <f>D27*E27</f>
        <v>2564.5500000000002</v>
      </c>
      <c r="G27" s="29"/>
      <c r="H27" s="29" t="str">
        <f>IF(COUNTIF($A$2:A27,$A27)&gt;1,"Duplicadas","Não duplicado")</f>
        <v>Duplicadas</v>
      </c>
      <c r="I27" t="str">
        <f t="shared" si="0"/>
        <v>14624.Panela De Pressão.45.01-jan-22.R$ 56,99.R$ 2.564,55</v>
      </c>
    </row>
  </sheetData>
  <autoFilter ref="H1:I27" xr:uid="{DEFFDA64-81E5-417C-A4C2-C6C6DCE2E574}"/>
  <conditionalFormatting sqref="D2:D1048576">
    <cfRule type="cellIs" dxfId="0" priority="1" operator="greaterThan">
      <formula>20</formula>
    </cfRule>
  </conditionalFormatting>
  <pageMargins left="0.511811024" right="0.511811024" top="0.78740157499999996" bottom="0.78740157499999996" header="0.31496062000000002" footer="0.31496062000000002"/>
  <pageSetup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2026-08-07T19:59:55Z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2026-08-07T19:36:25Z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45cf57a0-1782-435b-9c89-64a2fbb4697a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
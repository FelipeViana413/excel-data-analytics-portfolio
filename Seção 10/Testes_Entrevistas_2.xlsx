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92" documentId="8_{419C71A2-7BDB-4844-B42F-56E9E77CB448}" xr6:coauthVersionLast="47" xr6:coauthVersionMax="47" xr10:uidLastSave="{11557744-32A1-4906-A900-1D5EA22C34A0}"/>
  <bookViews>
    <workbookView xWindow="-110" yWindow="-110" windowWidth="19420" windowHeight="11500" activeTab="3" xr2:uid="{C162B555-F4AE-41AA-9236-C559E5C69857}"/>
  </bookViews>
  <sheets>
    <sheet name="Teste 2" sheetId="1" r:id="rId1"/>
    <sheet name="Dados" sheetId="2" r:id="rId2"/>
    <sheet name="Planilha1" sheetId="3" r:id="rId3"/>
    <sheet name="Planilha2" sheetId="4" r:id="rId4"/>
  </sheets>
  <definedNames>
    <definedName name="_xlnm._FilterDatabase" localSheetId="2" hidden="1">Planilha1!$A$1:$F$48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" i="4"/>
  <c r="E49" i="3"/>
  <c r="D49" i="3"/>
  <c r="E47" i="3"/>
  <c r="D47" i="3"/>
  <c r="E45" i="3"/>
  <c r="D45" i="3"/>
  <c r="E42" i="3"/>
  <c r="D42" i="3"/>
  <c r="E40" i="3"/>
  <c r="D40" i="3"/>
  <c r="E38" i="3"/>
  <c r="D38" i="3"/>
  <c r="E35" i="3"/>
  <c r="D35" i="3"/>
  <c r="E33" i="3"/>
  <c r="D33" i="3"/>
  <c r="E31" i="3"/>
  <c r="D31" i="3"/>
  <c r="E29" i="3"/>
  <c r="D29" i="3"/>
  <c r="E27" i="3"/>
  <c r="D27" i="3"/>
  <c r="E25" i="3"/>
  <c r="D25" i="3"/>
  <c r="E23" i="3"/>
  <c r="D23" i="3"/>
  <c r="E21" i="3"/>
  <c r="D21" i="3"/>
  <c r="E19" i="3"/>
  <c r="D19" i="3"/>
  <c r="E17" i="3"/>
  <c r="D17" i="3"/>
  <c r="E15" i="3"/>
  <c r="D15" i="3"/>
  <c r="E12" i="3"/>
  <c r="D12" i="3"/>
  <c r="E10" i="3"/>
  <c r="D10" i="3"/>
  <c r="E7" i="3"/>
  <c r="D7" i="3"/>
  <c r="E5" i="3"/>
  <c r="D5" i="3"/>
  <c r="E3" i="3"/>
  <c r="D3" i="3"/>
  <c r="F37" i="3"/>
  <c r="F9" i="3"/>
  <c r="F6" i="3"/>
  <c r="F7" i="3" s="1"/>
  <c r="F46" i="3"/>
  <c r="F47" i="3" s="1"/>
  <c r="F11" i="3"/>
  <c r="F12" i="3" s="1"/>
  <c r="F2" i="3"/>
  <c r="F3" i="3" s="1"/>
  <c r="F14" i="3"/>
  <c r="F20" i="3"/>
  <c r="F21" i="3" s="1"/>
  <c r="F4" i="3"/>
  <c r="F5" i="3" s="1"/>
  <c r="F8" i="3"/>
  <c r="F16" i="3"/>
  <c r="F17" i="3" s="1"/>
  <c r="F22" i="3"/>
  <c r="F23" i="3" s="1"/>
  <c r="F13" i="3"/>
  <c r="F41" i="3"/>
  <c r="F42" i="3" s="1"/>
  <c r="F32" i="3"/>
  <c r="F33" i="3" s="1"/>
  <c r="F44" i="3"/>
  <c r="F34" i="3"/>
  <c r="F35" i="3" s="1"/>
  <c r="F18" i="3"/>
  <c r="F19" i="3" s="1"/>
  <c r="F30" i="3"/>
  <c r="F31" i="3" s="1"/>
  <c r="F39" i="3"/>
  <c r="F40" i="3" s="1"/>
  <c r="F24" i="3"/>
  <c r="F25" i="3" s="1"/>
  <c r="F28" i="3"/>
  <c r="F29" i="3" s="1"/>
  <c r="F43" i="3"/>
  <c r="F48" i="3"/>
  <c r="F49" i="3" s="1"/>
  <c r="F26" i="3"/>
  <c r="F27" i="3" s="1"/>
  <c r="F36" i="3"/>
  <c r="J2" i="2"/>
  <c r="I2" i="2"/>
  <c r="H2" i="2"/>
  <c r="E28" i="2"/>
  <c r="D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45" i="3" l="1"/>
  <c r="F38" i="3"/>
  <c r="F10" i="3"/>
  <c r="F50" i="3" s="1"/>
  <c r="F15" i="3"/>
  <c r="D50" i="3"/>
  <c r="E50" i="3"/>
  <c r="F28" i="2"/>
</calcChain>
</file>

<file path=xl/sharedStrings.xml><?xml version="1.0" encoding="utf-8"?>
<sst xmlns="http://schemas.openxmlformats.org/spreadsheetml/2006/main" count="104" uniqueCount="61">
  <si>
    <t>Mês</t>
  </si>
  <si>
    <t>Código Produto</t>
  </si>
  <si>
    <t>&gt;&gt;</t>
  </si>
  <si>
    <t>Produto</t>
  </si>
  <si>
    <t>Qtd</t>
  </si>
  <si>
    <t>Preço</t>
  </si>
  <si>
    <t>Total Vendas</t>
  </si>
  <si>
    <t>Panela De Pressão</t>
  </si>
  <si>
    <t>Kit 15 Tangas</t>
  </si>
  <si>
    <t>Xiaomi Redmi 9 (Global)</t>
  </si>
  <si>
    <t>Terno Slim</t>
  </si>
  <si>
    <t>Kit Bomba A Vácuo Para Vinho</t>
  </si>
  <si>
    <t>Kit 120 Tangas</t>
  </si>
  <si>
    <t>Panela De Pressão 4,5litros</t>
  </si>
  <si>
    <t>Kit De Acessórios Para Banheiro</t>
  </si>
  <si>
    <t>Colchão Casal de espuma</t>
  </si>
  <si>
    <t>Moedor De Cafe Manual</t>
  </si>
  <si>
    <t>LG K22 Dual SIM 32 GB</t>
  </si>
  <si>
    <t>Spray Borrifador Pulverizador</t>
  </si>
  <si>
    <t>Camiseta Regata</t>
  </si>
  <si>
    <t>Headset gamer Knup KP-400</t>
  </si>
  <si>
    <t>Cobertor Manta Casal</t>
  </si>
  <si>
    <t>Calça Jeans Feminina</t>
  </si>
  <si>
    <t>Cafeteira Aluminio Extra</t>
  </si>
  <si>
    <t xml:space="preserve">Corset Corselet Underbust </t>
  </si>
  <si>
    <t>Botas Feminina Montaria</t>
  </si>
  <si>
    <t>Camiseta Cinta Modeladora</t>
  </si>
  <si>
    <t>Terno Slim Microfibra</t>
  </si>
  <si>
    <t>Caixa de ferramentas Fercar</t>
  </si>
  <si>
    <t>Crie uma planilha que some as vendas por item, independente do periodo</t>
  </si>
  <si>
    <t>Ao lado da soma total do item, crie uma outra coluna: Caso a venda total do item (em todos os meses) seja maior que 2000, preencher esta coluna adicional com "Meta Batida", caso contrario  "Em Andamento"</t>
  </si>
  <si>
    <t>Vá na Aba de "Dados" e crie um campo que some a Qtd, um outro que some o Preço e outro que some o Total Vendas</t>
  </si>
  <si>
    <t>Curso de Excel do Básico ao Avançado</t>
  </si>
  <si>
    <t>Professor:</t>
  </si>
  <si>
    <t xml:space="preserve">     Clevison Santos</t>
  </si>
  <si>
    <t>PERGUNTAS DE ENTREVISTAS E TESTES DE EXCEL</t>
  </si>
  <si>
    <t>Total de vendas</t>
  </si>
  <si>
    <t>Botas Feminina Montaria Total</t>
  </si>
  <si>
    <t>Cafeteira Aluminio Extra Total</t>
  </si>
  <si>
    <t>Caixa de ferramentas Fercar Total</t>
  </si>
  <si>
    <t>Calça Jeans Feminina Total</t>
  </si>
  <si>
    <t>Camiseta Cinta Modeladora Total</t>
  </si>
  <si>
    <t>Camiseta Regata Total</t>
  </si>
  <si>
    <t>Cobertor Manta Casal Total</t>
  </si>
  <si>
    <t>Colchão Casal de espuma Total</t>
  </si>
  <si>
    <t>Corset Corselet Underbust  Total</t>
  </si>
  <si>
    <t>Headset gamer Knup KP-400 Total</t>
  </si>
  <si>
    <t>Kit 120 Tangas Total</t>
  </si>
  <si>
    <t>Kit 15 Tangas Total</t>
  </si>
  <si>
    <t>Kit Bomba A Vácuo Para Vinho Total</t>
  </si>
  <si>
    <t>Kit De Acessórios Para Banheiro Total</t>
  </si>
  <si>
    <t>LG K22 Dual SIM 32 GB Total</t>
  </si>
  <si>
    <t>Moedor De Cafe Manual Total</t>
  </si>
  <si>
    <t>Panela De Pressão Total</t>
  </si>
  <si>
    <t>Panela De Pressão 4,5litros Total</t>
  </si>
  <si>
    <t>Spray Borrifador Pulverizador Total</t>
  </si>
  <si>
    <t>Terno Slim Total</t>
  </si>
  <si>
    <t>Terno Slim Microfibra Total</t>
  </si>
  <si>
    <t>Xiaomi Redmi 9 (Global) Total</t>
  </si>
  <si>
    <t>Total Geral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</si>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</sst>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416]dd\-mmm\-yy;@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wrapText="1"/>
    </xf>
    <xf numFmtId="0" fontId="1" fillId="3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164" fontId="1" fillId="3" borderId="1" xfId="0" applyNumberFormat="1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" fontId="1" fillId="3" borderId="1" xfId="0" applyNumberFormat="1" applyFont="1" applyFill="1" applyBorder="1" applyAlignment="1">
      <alignment horizontal="right" vertical="center"/>
    </xf>
    <xf numFmtId="44" fontId="1" fillId="3" borderId="1" xfId="1" applyFont="1" applyFill="1" applyBorder="1" applyAlignment="1">
      <alignment horizontal="right" vertical="center"/>
    </xf>
    <xf numFmtId="1" fontId="2" fillId="0" borderId="2" xfId="0" applyNumberFormat="1" applyFont="1" applyBorder="1" applyAlignment="1">
      <alignment horizontal="right"/>
    </xf>
    <xf numFmtId="8" fontId="2" fillId="0" borderId="2" xfId="1" applyNumberFormat="1" applyFont="1" applyBorder="1" applyAlignment="1">
      <alignment horizontal="right" wrapText="1"/>
    </xf>
    <xf numFmtId="44" fontId="2" fillId="0" borderId="2" xfId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8" fontId="2" fillId="0" borderId="2" xfId="1" applyNumberFormat="1" applyFont="1" applyBorder="1" applyAlignment="1">
      <alignment horizontal="right"/>
    </xf>
    <xf numFmtId="6" fontId="2" fillId="0" borderId="2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44" fontId="0" fillId="0" borderId="0" xfId="1" applyFont="1" applyAlignment="1">
      <alignment horizontal="right"/>
    </xf>
    <xf numFmtId="0" fontId="0" fillId="5" borderId="0" xfId="0" applyFill="1"/>
    <xf numFmtId="0" fontId="8" fillId="5" borderId="0" xfId="0" applyFont="1" applyFill="1"/>
    <xf numFmtId="0" fontId="10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1" fontId="0" fillId="0" borderId="0" xfId="0" applyNumberFormat="1"/>
    <xf numFmtId="8" fontId="0" fillId="0" borderId="0" xfId="0" applyNumberFormat="1"/>
    <xf numFmtId="44" fontId="0" fillId="0" borderId="0" xfId="0" applyNumberFormat="1"/>
    <xf numFmtId="0" fontId="11" fillId="0" borderId="2" xfId="0" applyFont="1" applyBorder="1" applyAlignment="1">
      <alignment horizontal="right"/>
    </xf>
    <xf numFmtId="0" fontId="11" fillId="0" borderId="2" xfId="0" applyFont="1" applyBorder="1" applyAlignment="1">
      <alignment horizontal="right" wrapText="1"/>
    </xf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6" fontId="2" fillId="0" borderId="0" xfId="1" applyNumberFormat="1" applyFont="1" applyBorder="1" applyAlignment="1">
      <alignment horizontal="right"/>
    </xf>
    <xf numFmtId="44" fontId="2" fillId="0" borderId="0" xfId="1" applyFont="1" applyBorder="1" applyAlignment="1">
      <alignment horizontal="right" wrapText="1"/>
    </xf>
    <xf numFmtId="0" fontId="11" fillId="0" borderId="0" xfId="0" applyFont="1" applyBorder="1" applyAlignment="1">
      <alignment horizontal="right" wrapText="1"/>
    </xf>
    <xf numFmtId="0" fontId="0" fillId="0" borderId="2" xfId="0" applyBorder="1" applyAlignment="1">
      <alignment horizontal="right"/>
    </xf>
    <xf numFmtId="0" fontId="0" fillId="0" borderId="0" xfId="0" applyBorder="1" applyAlignment="1">
      <alignment horizontal="right"/>
    </xf>
    <xf numFmtId="0" fontId="12" fillId="3" borderId="3" xfId="0" applyFont="1" applyFill="1" applyBorder="1" applyAlignment="1">
      <alignment horizontal="right" vertical="center"/>
    </xf>
    <xf numFmtId="0" fontId="13" fillId="0" borderId="0" xfId="0" applyFont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B1:N29"/>
  <sheetViews>
    <sheetView topLeftCell="A14" workbookViewId="0"/>
  </sheetViews>
  <sheetFormatPr defaultColWidth="9.1796875" defaultRowHeight="14.5" x14ac:dyDescent="0.35"/>
  <cols>
    <col min="1" max="1" width="4.1796875" style="1" customWidth="1"/>
    <col min="2" max="2" width="15.36328125" style="1" customWidth="1"/>
    <col min="3" max="3" width="2.81640625" style="1" customWidth="1"/>
    <col min="4" max="4" width="113.6328125" style="1" customWidth="1"/>
    <col min="5" max="16384" width="9.1796875" style="1"/>
  </cols>
  <sheetData>
    <row r="1" spans="2:14" s="20" customFormat="1" x14ac:dyDescent="0.35"/>
    <row r="2" spans="2:14" s="20" customFormat="1" ht="15.65" customHeight="1" x14ac:dyDescent="0.35">
      <c r="B2" s="23" t="s">
        <v>32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2:14" s="20" customFormat="1" ht="14.4" customHeight="1" x14ac:dyDescent="0.3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2:14" s="20" customFormat="1" ht="14.4" customHeight="1" x14ac:dyDescent="0.35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2:14" s="20" customFormat="1" ht="23.5" x14ac:dyDescent="0.55000000000000004">
      <c r="B5" s="24" t="s">
        <v>33</v>
      </c>
      <c r="C5" s="24"/>
      <c r="D5" s="21" t="s">
        <v>34</v>
      </c>
    </row>
    <row r="6" spans="2:14" s="20" customFormat="1" x14ac:dyDescent="0.35"/>
    <row r="7" spans="2:14" ht="15" customHeight="1" x14ac:dyDescent="0.35"/>
    <row r="8" spans="2:14" ht="15" customHeight="1" x14ac:dyDescent="0.35"/>
    <row r="9" spans="2:14" x14ac:dyDescent="0.35">
      <c r="D9" s="25" t="s">
        <v>35</v>
      </c>
      <c r="E9" s="25"/>
      <c r="F9" s="25"/>
      <c r="G9" s="25"/>
    </row>
    <row r="10" spans="2:14" x14ac:dyDescent="0.35">
      <c r="D10" s="25"/>
      <c r="E10" s="25"/>
      <c r="F10" s="25"/>
      <c r="G10" s="25"/>
    </row>
    <row r="11" spans="2:14" ht="26" x14ac:dyDescent="0.35">
      <c r="D11" s="22"/>
      <c r="E11" s="22"/>
      <c r="F11" s="22"/>
      <c r="G11" s="22"/>
    </row>
    <row r="12" spans="2:14" ht="26" x14ac:dyDescent="0.35">
      <c r="D12" s="22"/>
      <c r="E12" s="22"/>
      <c r="F12" s="22"/>
      <c r="G12" s="22"/>
    </row>
    <row r="14" spans="2:14" ht="54" customHeight="1" x14ac:dyDescent="0.35">
      <c r="B14" s="27" t="s">
        <v>2</v>
      </c>
      <c r="D14" s="26" t="s">
        <v>31</v>
      </c>
    </row>
    <row r="15" spans="2:14" ht="14.5" customHeight="1" x14ac:dyDescent="0.35">
      <c r="B15" s="27"/>
      <c r="D15" s="26"/>
    </row>
    <row r="16" spans="2:14" ht="14.5" customHeight="1" x14ac:dyDescent="0.35">
      <c r="B16" s="27"/>
      <c r="D16" s="26"/>
    </row>
    <row r="19" spans="2:4" ht="54" customHeight="1" x14ac:dyDescent="0.35">
      <c r="B19" s="27" t="s">
        <v>2</v>
      </c>
      <c r="D19" s="26" t="s">
        <v>29</v>
      </c>
    </row>
    <row r="20" spans="2:4" ht="14.5" customHeight="1" x14ac:dyDescent="0.35">
      <c r="B20" s="27"/>
      <c r="D20" s="26"/>
    </row>
    <row r="21" spans="2:4" ht="14.5" customHeight="1" x14ac:dyDescent="0.35">
      <c r="B21" s="27"/>
      <c r="D21" s="26"/>
    </row>
    <row r="24" spans="2:4" ht="54" customHeight="1" x14ac:dyDescent="0.35">
      <c r="B24" s="27" t="s">
        <v>2</v>
      </c>
      <c r="D24" s="26" t="s">
        <v>30</v>
      </c>
    </row>
    <row r="25" spans="2:4" ht="14.5" customHeight="1" x14ac:dyDescent="0.35">
      <c r="B25" s="27"/>
      <c r="D25" s="26"/>
    </row>
    <row r="26" spans="2:4" ht="14.5" customHeight="1" x14ac:dyDescent="0.35">
      <c r="B26" s="27"/>
      <c r="D26" s="26"/>
    </row>
    <row r="29" spans="2:4" x14ac:dyDescent="0.35">
      <c r="B29" s="2"/>
      <c r="D29" s="3"/>
    </row>
  </sheetData>
  <mergeCells count="9">
    <mergeCell ref="B19:B21"/>
    <mergeCell ref="D19:D21"/>
    <mergeCell ref="B24:B26"/>
    <mergeCell ref="D24:D26"/>
    <mergeCell ref="B2:N4"/>
    <mergeCell ref="B5:C5"/>
    <mergeCell ref="D9:G10"/>
    <mergeCell ref="D14:D16"/>
    <mergeCell ref="B14:B16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DA64-81E5-417C-A4C2-C6C6DCE2E574}">
  <dimension ref="A1:J28"/>
  <sheetViews>
    <sheetView workbookViewId="0">
      <selection activeCell="B1" sqref="B1"/>
    </sheetView>
  </sheetViews>
  <sheetFormatPr defaultRowHeight="14.5" x14ac:dyDescent="0.35"/>
  <cols>
    <col min="1" max="1" width="21.453125" style="6" customWidth="1"/>
    <col min="2" max="2" width="36.453125" style="6" customWidth="1"/>
    <col min="3" max="3" width="19.08984375" style="9" customWidth="1"/>
    <col min="4" max="4" width="19.08984375" style="18" customWidth="1"/>
    <col min="5" max="6" width="25.54296875" style="19" customWidth="1"/>
    <col min="7" max="7" width="7.1796875" bestFit="1" customWidth="1"/>
    <col min="8" max="8" width="6.54296875" bestFit="1" customWidth="1"/>
    <col min="9" max="9" width="11.36328125" bestFit="1" customWidth="1"/>
    <col min="10" max="10" width="13.7265625" bestFit="1" customWidth="1"/>
    <col min="11" max="11" width="6.54296875" bestFit="1" customWidth="1"/>
    <col min="12" max="12" width="6.81640625" bestFit="1" customWidth="1"/>
    <col min="13" max="13" width="7.1796875" bestFit="1" customWidth="1"/>
    <col min="14" max="14" width="6.54296875" bestFit="1" customWidth="1"/>
    <col min="15" max="15" width="6.81640625" bestFit="1" customWidth="1"/>
    <col min="16" max="16" width="7.1796875" bestFit="1" customWidth="1"/>
    <col min="17" max="17" width="6.54296875" bestFit="1" customWidth="1"/>
    <col min="18" max="18" width="6.81640625" bestFit="1" customWidth="1"/>
    <col min="19" max="19" width="7.1796875" bestFit="1" customWidth="1"/>
    <col min="20" max="20" width="6.54296875" bestFit="1" customWidth="1"/>
    <col min="21" max="21" width="6.81640625" bestFit="1" customWidth="1"/>
    <col min="22" max="22" width="7.1796875" bestFit="1" customWidth="1"/>
    <col min="23" max="23" width="6.54296875" bestFit="1" customWidth="1"/>
    <col min="24" max="24" width="6.81640625" bestFit="1" customWidth="1"/>
    <col min="25" max="25" width="7.1796875" bestFit="1" customWidth="1"/>
    <col min="26" max="26" width="6.54296875" bestFit="1" customWidth="1"/>
    <col min="27" max="27" width="6.81640625" bestFit="1" customWidth="1"/>
    <col min="28" max="28" width="7.1796875" bestFit="1" customWidth="1"/>
    <col min="29" max="29" width="6.54296875" bestFit="1" customWidth="1"/>
    <col min="30" max="30" width="6.81640625" bestFit="1" customWidth="1"/>
    <col min="31" max="31" width="7.1796875" bestFit="1" customWidth="1"/>
    <col min="32" max="32" width="6.54296875" bestFit="1" customWidth="1"/>
    <col min="33" max="33" width="6.81640625" bestFit="1" customWidth="1"/>
    <col min="34" max="34" width="7.1796875" bestFit="1" customWidth="1"/>
    <col min="35" max="35" width="6.54296875" bestFit="1" customWidth="1"/>
    <col min="36" max="36" width="6.81640625" bestFit="1" customWidth="1"/>
    <col min="37" max="37" width="7.1796875" bestFit="1" customWidth="1"/>
    <col min="38" max="38" width="6.54296875" bestFit="1" customWidth="1"/>
    <col min="39" max="39" width="6.81640625" bestFit="1" customWidth="1"/>
    <col min="40" max="40" width="7.1796875" bestFit="1" customWidth="1"/>
    <col min="41" max="41" width="6.54296875" bestFit="1" customWidth="1"/>
    <col min="42" max="42" width="6.81640625" bestFit="1" customWidth="1"/>
    <col min="43" max="43" width="7.1796875" bestFit="1" customWidth="1"/>
    <col min="44" max="44" width="6.54296875" bestFit="1" customWidth="1"/>
    <col min="45" max="45" width="6.81640625" bestFit="1" customWidth="1"/>
    <col min="46" max="46" width="7.1796875" bestFit="1" customWidth="1"/>
    <col min="47" max="47" width="6.54296875" bestFit="1" customWidth="1"/>
    <col min="48" max="48" width="6.81640625" bestFit="1" customWidth="1"/>
    <col min="49" max="49" width="7.1796875" bestFit="1" customWidth="1"/>
    <col min="50" max="50" width="6.54296875" bestFit="1" customWidth="1"/>
    <col min="51" max="51" width="6.81640625" bestFit="1" customWidth="1"/>
    <col min="52" max="52" width="7.1796875" bestFit="1" customWidth="1"/>
    <col min="53" max="53" width="6.54296875" bestFit="1" customWidth="1"/>
    <col min="54" max="54" width="6.81640625" bestFit="1" customWidth="1"/>
    <col min="55" max="55" width="7.1796875" bestFit="1" customWidth="1"/>
    <col min="56" max="56" width="6.54296875" bestFit="1" customWidth="1"/>
    <col min="57" max="57" width="6.81640625" bestFit="1" customWidth="1"/>
    <col min="58" max="58" width="7.1796875" bestFit="1" customWidth="1"/>
    <col min="59" max="59" width="6.54296875" bestFit="1" customWidth="1"/>
    <col min="60" max="60" width="6.81640625" bestFit="1" customWidth="1"/>
    <col min="61" max="61" width="7.1796875" bestFit="1" customWidth="1"/>
    <col min="62" max="62" width="6.54296875" bestFit="1" customWidth="1"/>
    <col min="63" max="63" width="6.81640625" bestFit="1" customWidth="1"/>
    <col min="64" max="64" width="7.1796875" bestFit="1" customWidth="1"/>
    <col min="65" max="65" width="6.54296875" bestFit="1" customWidth="1"/>
    <col min="66" max="66" width="6.81640625" bestFit="1" customWidth="1"/>
    <col min="67" max="67" width="7.1796875" bestFit="1" customWidth="1"/>
    <col min="68" max="68" width="6.54296875" bestFit="1" customWidth="1"/>
    <col min="69" max="69" width="6.81640625" bestFit="1" customWidth="1"/>
    <col min="70" max="70" width="7.1796875" bestFit="1" customWidth="1"/>
    <col min="71" max="71" width="6.54296875" bestFit="1" customWidth="1"/>
    <col min="72" max="72" width="6.81640625" bestFit="1" customWidth="1"/>
    <col min="73" max="73" width="7.1796875" bestFit="1" customWidth="1"/>
    <col min="74" max="74" width="6.54296875" bestFit="1" customWidth="1"/>
    <col min="75" max="75" width="6.81640625" bestFit="1" customWidth="1"/>
    <col min="76" max="76" width="7.1796875" bestFit="1" customWidth="1"/>
    <col min="77" max="77" width="6.54296875" bestFit="1" customWidth="1"/>
    <col min="78" max="78" width="6.81640625" bestFit="1" customWidth="1"/>
    <col min="79" max="79" width="7.1796875" bestFit="1" customWidth="1"/>
    <col min="80" max="80" width="6.54296875" bestFit="1" customWidth="1"/>
    <col min="81" max="81" width="6.81640625" bestFit="1" customWidth="1"/>
    <col min="82" max="82" width="7.1796875" bestFit="1" customWidth="1"/>
    <col min="83" max="83" width="6.54296875" bestFit="1" customWidth="1"/>
    <col min="84" max="84" width="6.81640625" bestFit="1" customWidth="1"/>
    <col min="85" max="85" width="7.1796875" bestFit="1" customWidth="1"/>
    <col min="86" max="86" width="6.54296875" bestFit="1" customWidth="1"/>
    <col min="87" max="87" width="6.81640625" bestFit="1" customWidth="1"/>
    <col min="88" max="88" width="7.1796875" bestFit="1" customWidth="1"/>
    <col min="89" max="89" width="6.54296875" bestFit="1" customWidth="1"/>
    <col min="90" max="90" width="6.81640625" bestFit="1" customWidth="1"/>
    <col min="91" max="91" width="7.1796875" bestFit="1" customWidth="1"/>
    <col min="92" max="92" width="6.54296875" bestFit="1" customWidth="1"/>
    <col min="93" max="93" width="6.81640625" bestFit="1" customWidth="1"/>
    <col min="94" max="94" width="7.1796875" bestFit="1" customWidth="1"/>
    <col min="95" max="95" width="6.54296875" bestFit="1" customWidth="1"/>
    <col min="96" max="96" width="6.81640625" bestFit="1" customWidth="1"/>
    <col min="97" max="97" width="7.1796875" bestFit="1" customWidth="1"/>
    <col min="98" max="98" width="6.54296875" bestFit="1" customWidth="1"/>
    <col min="99" max="99" width="6.81640625" bestFit="1" customWidth="1"/>
    <col min="100" max="100" width="7.1796875" bestFit="1" customWidth="1"/>
    <col min="101" max="101" width="6.54296875" bestFit="1" customWidth="1"/>
    <col min="102" max="102" width="6.81640625" bestFit="1" customWidth="1"/>
    <col min="103" max="103" width="7.1796875" bestFit="1" customWidth="1"/>
    <col min="104" max="104" width="6.54296875" bestFit="1" customWidth="1"/>
    <col min="105" max="105" width="6.81640625" bestFit="1" customWidth="1"/>
    <col min="106" max="106" width="7.1796875" bestFit="1" customWidth="1"/>
    <col min="107" max="107" width="6.54296875" bestFit="1" customWidth="1"/>
    <col min="108" max="108" width="6.81640625" bestFit="1" customWidth="1"/>
    <col min="109" max="109" width="7.1796875" bestFit="1" customWidth="1"/>
    <col min="110" max="110" width="6.54296875" bestFit="1" customWidth="1"/>
    <col min="111" max="111" width="6.81640625" bestFit="1" customWidth="1"/>
    <col min="112" max="112" width="7.1796875" bestFit="1" customWidth="1"/>
    <col min="113" max="113" width="6.54296875" bestFit="1" customWidth="1"/>
    <col min="114" max="114" width="6.81640625" bestFit="1" customWidth="1"/>
    <col min="115" max="115" width="7.1796875" bestFit="1" customWidth="1"/>
    <col min="116" max="116" width="6.54296875" bestFit="1" customWidth="1"/>
    <col min="117" max="117" width="6.81640625" bestFit="1" customWidth="1"/>
    <col min="118" max="118" width="7.1796875" bestFit="1" customWidth="1"/>
    <col min="119" max="119" width="6.54296875" bestFit="1" customWidth="1"/>
    <col min="120" max="120" width="6.81640625" bestFit="1" customWidth="1"/>
    <col min="121" max="121" width="7.1796875" bestFit="1" customWidth="1"/>
    <col min="122" max="122" width="6.54296875" bestFit="1" customWidth="1"/>
    <col min="123" max="123" width="6.81640625" bestFit="1" customWidth="1"/>
    <col min="124" max="124" width="7.1796875" bestFit="1" customWidth="1"/>
    <col min="125" max="125" width="6.54296875" bestFit="1" customWidth="1"/>
    <col min="126" max="126" width="6.81640625" bestFit="1" customWidth="1"/>
    <col min="127" max="127" width="7.1796875" bestFit="1" customWidth="1"/>
    <col min="128" max="128" width="6.54296875" bestFit="1" customWidth="1"/>
    <col min="129" max="129" width="6.81640625" bestFit="1" customWidth="1"/>
    <col min="130" max="130" width="7.1796875" bestFit="1" customWidth="1"/>
    <col min="131" max="131" width="6.54296875" bestFit="1" customWidth="1"/>
    <col min="132" max="132" width="6.81640625" bestFit="1" customWidth="1"/>
    <col min="133" max="133" width="7.1796875" bestFit="1" customWidth="1"/>
    <col min="134" max="134" width="6.54296875" bestFit="1" customWidth="1"/>
    <col min="135" max="135" width="6.81640625" bestFit="1" customWidth="1"/>
    <col min="136" max="136" width="7.1796875" bestFit="1" customWidth="1"/>
    <col min="137" max="137" width="6.54296875" bestFit="1" customWidth="1"/>
    <col min="138" max="138" width="6.81640625" bestFit="1" customWidth="1"/>
    <col min="139" max="139" width="7.1796875" bestFit="1" customWidth="1"/>
    <col min="140" max="140" width="6.54296875" bestFit="1" customWidth="1"/>
    <col min="141" max="141" width="6.81640625" bestFit="1" customWidth="1"/>
    <col min="142" max="142" width="7.1796875" bestFit="1" customWidth="1"/>
    <col min="143" max="143" width="6.54296875" bestFit="1" customWidth="1"/>
    <col min="144" max="144" width="6.81640625" bestFit="1" customWidth="1"/>
    <col min="145" max="145" width="7.1796875" bestFit="1" customWidth="1"/>
    <col min="146" max="146" width="6.54296875" bestFit="1" customWidth="1"/>
    <col min="147" max="147" width="6.81640625" bestFit="1" customWidth="1"/>
    <col min="148" max="148" width="7.1796875" bestFit="1" customWidth="1"/>
    <col min="149" max="149" width="6.54296875" bestFit="1" customWidth="1"/>
    <col min="150" max="150" width="6.81640625" bestFit="1" customWidth="1"/>
    <col min="151" max="151" width="7.1796875" bestFit="1" customWidth="1"/>
    <col min="152" max="152" width="6.54296875" bestFit="1" customWidth="1"/>
    <col min="153" max="153" width="6.81640625" bestFit="1" customWidth="1"/>
    <col min="154" max="154" width="7.1796875" bestFit="1" customWidth="1"/>
    <col min="155" max="155" width="6.54296875" bestFit="1" customWidth="1"/>
    <col min="156" max="156" width="6.81640625" bestFit="1" customWidth="1"/>
    <col min="157" max="157" width="7.1796875" bestFit="1" customWidth="1"/>
    <col min="158" max="158" width="6.54296875" bestFit="1" customWidth="1"/>
    <col min="159" max="159" width="6.81640625" bestFit="1" customWidth="1"/>
    <col min="160" max="160" width="7.1796875" bestFit="1" customWidth="1"/>
    <col min="161" max="161" width="6.54296875" bestFit="1" customWidth="1"/>
    <col min="162" max="162" width="6.81640625" bestFit="1" customWidth="1"/>
    <col min="163" max="163" width="7.1796875" bestFit="1" customWidth="1"/>
    <col min="164" max="164" width="6.54296875" bestFit="1" customWidth="1"/>
    <col min="165" max="165" width="6.81640625" bestFit="1" customWidth="1"/>
    <col min="166" max="166" width="7.1796875" bestFit="1" customWidth="1"/>
    <col min="167" max="167" width="6.54296875" bestFit="1" customWidth="1"/>
    <col min="168" max="168" width="6.81640625" bestFit="1" customWidth="1"/>
    <col min="169" max="169" width="7.1796875" bestFit="1" customWidth="1"/>
    <col min="170" max="170" width="6.54296875" bestFit="1" customWidth="1"/>
    <col min="171" max="171" width="6.81640625" bestFit="1" customWidth="1"/>
    <col min="172" max="172" width="7.1796875" bestFit="1" customWidth="1"/>
    <col min="173" max="173" width="6.54296875" bestFit="1" customWidth="1"/>
    <col min="174" max="174" width="6.81640625" bestFit="1" customWidth="1"/>
    <col min="175" max="175" width="7.1796875" bestFit="1" customWidth="1"/>
    <col min="176" max="176" width="6.54296875" bestFit="1" customWidth="1"/>
    <col min="177" max="177" width="6.81640625" bestFit="1" customWidth="1"/>
    <col min="178" max="178" width="7.1796875" bestFit="1" customWidth="1"/>
    <col min="179" max="179" width="6.54296875" bestFit="1" customWidth="1"/>
    <col min="180" max="180" width="6.81640625" bestFit="1" customWidth="1"/>
    <col min="181" max="181" width="7.1796875" bestFit="1" customWidth="1"/>
    <col min="182" max="182" width="6.54296875" bestFit="1" customWidth="1"/>
    <col min="183" max="183" width="6.81640625" bestFit="1" customWidth="1"/>
    <col min="184" max="184" width="7.1796875" bestFit="1" customWidth="1"/>
    <col min="185" max="185" width="6.54296875" bestFit="1" customWidth="1"/>
    <col min="186" max="186" width="6.81640625" bestFit="1" customWidth="1"/>
    <col min="187" max="187" width="7.1796875" bestFit="1" customWidth="1"/>
    <col min="188" max="188" width="6.54296875" bestFit="1" customWidth="1"/>
    <col min="189" max="189" width="6.81640625" bestFit="1" customWidth="1"/>
    <col min="190" max="190" width="7.1796875" bestFit="1" customWidth="1"/>
    <col min="191" max="191" width="6.54296875" bestFit="1" customWidth="1"/>
    <col min="192" max="192" width="6.81640625" bestFit="1" customWidth="1"/>
    <col min="193" max="193" width="7.1796875" bestFit="1" customWidth="1"/>
    <col min="194" max="194" width="6.54296875" bestFit="1" customWidth="1"/>
    <col min="195" max="195" width="6.81640625" bestFit="1" customWidth="1"/>
    <col min="196" max="196" width="7.1796875" bestFit="1" customWidth="1"/>
    <col min="197" max="197" width="6.54296875" bestFit="1" customWidth="1"/>
    <col min="198" max="198" width="6.81640625" bestFit="1" customWidth="1"/>
    <col min="199" max="199" width="7.1796875" bestFit="1" customWidth="1"/>
    <col min="200" max="200" width="6.54296875" bestFit="1" customWidth="1"/>
    <col min="201" max="201" width="6.81640625" bestFit="1" customWidth="1"/>
    <col min="202" max="202" width="7.1796875" bestFit="1" customWidth="1"/>
    <col min="203" max="203" width="6.54296875" bestFit="1" customWidth="1"/>
    <col min="204" max="204" width="6.81640625" bestFit="1" customWidth="1"/>
    <col min="205" max="205" width="7.1796875" bestFit="1" customWidth="1"/>
    <col min="206" max="206" width="6.54296875" bestFit="1" customWidth="1"/>
    <col min="207" max="207" width="6.81640625" bestFit="1" customWidth="1"/>
    <col min="208" max="208" width="7.1796875" bestFit="1" customWidth="1"/>
    <col min="209" max="209" width="6.54296875" bestFit="1" customWidth="1"/>
    <col min="210" max="210" width="6.81640625" bestFit="1" customWidth="1"/>
    <col min="211" max="211" width="7.1796875" bestFit="1" customWidth="1"/>
    <col min="212" max="212" width="6.54296875" bestFit="1" customWidth="1"/>
    <col min="213" max="213" width="6.81640625" bestFit="1" customWidth="1"/>
    <col min="214" max="214" width="7.1796875" bestFit="1" customWidth="1"/>
    <col min="215" max="215" width="6.54296875" bestFit="1" customWidth="1"/>
    <col min="216" max="216" width="6.81640625" bestFit="1" customWidth="1"/>
    <col min="217" max="217" width="7.1796875" bestFit="1" customWidth="1"/>
    <col min="218" max="218" width="6.54296875" bestFit="1" customWidth="1"/>
    <col min="219" max="219" width="6.81640625" bestFit="1" customWidth="1"/>
    <col min="220" max="220" width="7.1796875" bestFit="1" customWidth="1"/>
    <col min="221" max="221" width="6.54296875" bestFit="1" customWidth="1"/>
    <col min="222" max="222" width="6.81640625" bestFit="1" customWidth="1"/>
    <col min="223" max="223" width="7.1796875" bestFit="1" customWidth="1"/>
    <col min="224" max="224" width="6.54296875" bestFit="1" customWidth="1"/>
    <col min="225" max="225" width="6.81640625" bestFit="1" customWidth="1"/>
    <col min="226" max="226" width="7.1796875" bestFit="1" customWidth="1"/>
    <col min="227" max="227" width="6.54296875" bestFit="1" customWidth="1"/>
    <col min="228" max="228" width="6.81640625" bestFit="1" customWidth="1"/>
    <col min="229" max="229" width="7.1796875" bestFit="1" customWidth="1"/>
    <col min="230" max="230" width="6.54296875" bestFit="1" customWidth="1"/>
    <col min="231" max="231" width="6.81640625" bestFit="1" customWidth="1"/>
    <col min="232" max="232" width="7.1796875" bestFit="1" customWidth="1"/>
    <col min="233" max="234" width="6.54296875" bestFit="1" customWidth="1"/>
    <col min="235" max="236" width="6.81640625" bestFit="1" customWidth="1"/>
    <col min="237" max="238" width="7.1796875" bestFit="1" customWidth="1"/>
    <col min="239" max="239" width="6.54296875" bestFit="1" customWidth="1"/>
    <col min="240" max="240" width="6.81640625" bestFit="1" customWidth="1"/>
    <col min="241" max="241" width="7.1796875" bestFit="1" customWidth="1"/>
    <col min="242" max="242" width="6.54296875" bestFit="1" customWidth="1"/>
    <col min="243" max="243" width="6.81640625" bestFit="1" customWidth="1"/>
    <col min="244" max="244" width="7.1796875" bestFit="1" customWidth="1"/>
    <col min="245" max="245" width="6.54296875" bestFit="1" customWidth="1"/>
    <col min="246" max="246" width="6.81640625" bestFit="1" customWidth="1"/>
    <col min="247" max="247" width="7.1796875" bestFit="1" customWidth="1"/>
    <col min="248" max="248" width="6.54296875" bestFit="1" customWidth="1"/>
    <col min="249" max="249" width="6.81640625" bestFit="1" customWidth="1"/>
    <col min="250" max="250" width="7.1796875" bestFit="1" customWidth="1"/>
    <col min="251" max="251" width="6.54296875" bestFit="1" customWidth="1"/>
    <col min="252" max="252" width="6.81640625" bestFit="1" customWidth="1"/>
    <col min="253" max="253" width="7.1796875" bestFit="1" customWidth="1"/>
    <col min="254" max="254" width="6.54296875" bestFit="1" customWidth="1"/>
    <col min="255" max="255" width="6.81640625" bestFit="1" customWidth="1"/>
    <col min="256" max="256" width="7.1796875" bestFit="1" customWidth="1"/>
    <col min="257" max="258" width="6.54296875" bestFit="1" customWidth="1"/>
    <col min="259" max="260" width="6.81640625" bestFit="1" customWidth="1"/>
    <col min="261" max="262" width="7.1796875" bestFit="1" customWidth="1"/>
    <col min="263" max="263" width="6.54296875" bestFit="1" customWidth="1"/>
    <col min="264" max="264" width="6.81640625" bestFit="1" customWidth="1"/>
    <col min="265" max="265" width="7.1796875" bestFit="1" customWidth="1"/>
    <col min="266" max="266" width="6.54296875" bestFit="1" customWidth="1"/>
    <col min="267" max="267" width="6.81640625" bestFit="1" customWidth="1"/>
    <col min="268" max="268" width="7.1796875" bestFit="1" customWidth="1"/>
    <col min="269" max="269" width="6.54296875" bestFit="1" customWidth="1"/>
    <col min="270" max="270" width="6.81640625" bestFit="1" customWidth="1"/>
    <col min="271" max="271" width="7.1796875" bestFit="1" customWidth="1"/>
    <col min="272" max="272" width="6.54296875" bestFit="1" customWidth="1"/>
    <col min="273" max="273" width="6.81640625" bestFit="1" customWidth="1"/>
    <col min="274" max="274" width="7.1796875" bestFit="1" customWidth="1"/>
    <col min="275" max="275" width="6.54296875" bestFit="1" customWidth="1"/>
    <col min="276" max="276" width="6.81640625" bestFit="1" customWidth="1"/>
    <col min="277" max="277" width="7.1796875" bestFit="1" customWidth="1"/>
    <col min="278" max="278" width="6.54296875" bestFit="1" customWidth="1"/>
    <col min="279" max="279" width="6.81640625" bestFit="1" customWidth="1"/>
    <col min="280" max="280" width="7.1796875" bestFit="1" customWidth="1"/>
    <col min="281" max="281" width="6.54296875" bestFit="1" customWidth="1"/>
    <col min="282" max="282" width="6.81640625" bestFit="1" customWidth="1"/>
    <col min="283" max="283" width="7.1796875" bestFit="1" customWidth="1"/>
    <col min="284" max="284" width="6.54296875" bestFit="1" customWidth="1"/>
    <col min="285" max="285" width="6.81640625" bestFit="1" customWidth="1"/>
    <col min="286" max="286" width="7.1796875" bestFit="1" customWidth="1"/>
    <col min="287" max="287" width="6.54296875" bestFit="1" customWidth="1"/>
    <col min="288" max="288" width="6.81640625" bestFit="1" customWidth="1"/>
    <col min="289" max="289" width="7.1796875" bestFit="1" customWidth="1"/>
    <col min="290" max="290" width="6.54296875" bestFit="1" customWidth="1"/>
    <col min="291" max="291" width="6.81640625" bestFit="1" customWidth="1"/>
    <col min="292" max="292" width="7.1796875" bestFit="1" customWidth="1"/>
    <col min="293" max="293" width="6.54296875" bestFit="1" customWidth="1"/>
    <col min="294" max="294" width="6.81640625" bestFit="1" customWidth="1"/>
    <col min="295" max="295" width="7.1796875" bestFit="1" customWidth="1"/>
    <col min="296" max="296" width="6.54296875" bestFit="1" customWidth="1"/>
    <col min="297" max="297" width="6.81640625" bestFit="1" customWidth="1"/>
    <col min="298" max="298" width="7.1796875" bestFit="1" customWidth="1"/>
    <col min="299" max="299" width="6.54296875" bestFit="1" customWidth="1"/>
    <col min="300" max="300" width="6.81640625" bestFit="1" customWidth="1"/>
    <col min="301" max="301" width="7.1796875" bestFit="1" customWidth="1"/>
    <col min="302" max="302" width="6.54296875" bestFit="1" customWidth="1"/>
    <col min="303" max="303" width="6.81640625" bestFit="1" customWidth="1"/>
    <col min="304" max="304" width="7.1796875" bestFit="1" customWidth="1"/>
    <col min="305" max="305" width="6.54296875" bestFit="1" customWidth="1"/>
    <col min="306" max="306" width="6.81640625" bestFit="1" customWidth="1"/>
    <col min="307" max="307" width="7.1796875" bestFit="1" customWidth="1"/>
    <col min="308" max="308" width="6.54296875" bestFit="1" customWidth="1"/>
    <col min="309" max="309" width="6.81640625" bestFit="1" customWidth="1"/>
    <col min="310" max="310" width="7.1796875" bestFit="1" customWidth="1"/>
    <col min="311" max="311" width="6.54296875" bestFit="1" customWidth="1"/>
    <col min="312" max="312" width="6.81640625" bestFit="1" customWidth="1"/>
    <col min="313" max="313" width="7.1796875" bestFit="1" customWidth="1"/>
    <col min="314" max="314" width="6.54296875" bestFit="1" customWidth="1"/>
    <col min="315" max="315" width="6.81640625" bestFit="1" customWidth="1"/>
    <col min="316" max="316" width="7.1796875" bestFit="1" customWidth="1"/>
    <col min="317" max="317" width="6.54296875" bestFit="1" customWidth="1"/>
    <col min="318" max="318" width="6.81640625" bestFit="1" customWidth="1"/>
    <col min="319" max="319" width="7.1796875" bestFit="1" customWidth="1"/>
    <col min="320" max="320" width="6.54296875" bestFit="1" customWidth="1"/>
    <col min="321" max="321" width="6.81640625" bestFit="1" customWidth="1"/>
    <col min="322" max="322" width="7.1796875" bestFit="1" customWidth="1"/>
    <col min="323" max="323" width="6.54296875" bestFit="1" customWidth="1"/>
    <col min="324" max="324" width="6.81640625" bestFit="1" customWidth="1"/>
    <col min="325" max="325" width="7.1796875" bestFit="1" customWidth="1"/>
    <col min="326" max="326" width="6.54296875" bestFit="1" customWidth="1"/>
    <col min="327" max="327" width="6.81640625" bestFit="1" customWidth="1"/>
    <col min="328" max="328" width="7.1796875" bestFit="1" customWidth="1"/>
    <col min="329" max="329" width="6.54296875" bestFit="1" customWidth="1"/>
    <col min="330" max="330" width="6.81640625" bestFit="1" customWidth="1"/>
    <col min="331" max="331" width="7.1796875" bestFit="1" customWidth="1"/>
    <col min="332" max="332" width="6.54296875" bestFit="1" customWidth="1"/>
    <col min="333" max="333" width="6.81640625" bestFit="1" customWidth="1"/>
    <col min="334" max="334" width="7.1796875" bestFit="1" customWidth="1"/>
    <col min="335" max="335" width="6.54296875" bestFit="1" customWidth="1"/>
    <col min="336" max="336" width="6.81640625" bestFit="1" customWidth="1"/>
    <col min="337" max="337" width="7.1796875" bestFit="1" customWidth="1"/>
    <col min="338" max="338" width="6.54296875" bestFit="1" customWidth="1"/>
    <col min="339" max="339" width="6.81640625" bestFit="1" customWidth="1"/>
    <col min="340" max="340" width="7.1796875" bestFit="1" customWidth="1"/>
    <col min="341" max="341" width="6.54296875" bestFit="1" customWidth="1"/>
    <col min="342" max="342" width="6.81640625" bestFit="1" customWidth="1"/>
    <col min="343" max="343" width="7.1796875" bestFit="1" customWidth="1"/>
    <col min="344" max="344" width="6.54296875" bestFit="1" customWidth="1"/>
    <col min="345" max="345" width="6.81640625" bestFit="1" customWidth="1"/>
    <col min="346" max="346" width="7.1796875" bestFit="1" customWidth="1"/>
    <col min="347" max="347" width="6.54296875" bestFit="1" customWidth="1"/>
    <col min="348" max="348" width="6.81640625" bestFit="1" customWidth="1"/>
    <col min="349" max="349" width="7.1796875" bestFit="1" customWidth="1"/>
    <col min="350" max="350" width="6.54296875" bestFit="1" customWidth="1"/>
    <col min="351" max="351" width="6.81640625" bestFit="1" customWidth="1"/>
    <col min="352" max="352" width="7.1796875" bestFit="1" customWidth="1"/>
    <col min="353" max="353" width="6.54296875" bestFit="1" customWidth="1"/>
    <col min="354" max="354" width="6.81640625" bestFit="1" customWidth="1"/>
    <col min="355" max="355" width="7.1796875" bestFit="1" customWidth="1"/>
    <col min="356" max="356" width="6.54296875" bestFit="1" customWidth="1"/>
    <col min="357" max="357" width="6.81640625" bestFit="1" customWidth="1"/>
    <col min="358" max="358" width="7.1796875" bestFit="1" customWidth="1"/>
    <col min="359" max="359" width="6.54296875" bestFit="1" customWidth="1"/>
    <col min="360" max="360" width="6.81640625" bestFit="1" customWidth="1"/>
    <col min="361" max="361" width="7.1796875" bestFit="1" customWidth="1"/>
    <col min="362" max="362" width="6.54296875" bestFit="1" customWidth="1"/>
    <col min="363" max="363" width="6.81640625" bestFit="1" customWidth="1"/>
    <col min="364" max="364" width="7.1796875" bestFit="1" customWidth="1"/>
    <col min="365" max="365" width="6.54296875" bestFit="1" customWidth="1"/>
    <col min="366" max="366" width="6.81640625" bestFit="1" customWidth="1"/>
    <col min="367" max="367" width="7.1796875" bestFit="1" customWidth="1"/>
    <col min="368" max="368" width="6.54296875" bestFit="1" customWidth="1"/>
    <col min="369" max="369" width="6.81640625" bestFit="1" customWidth="1"/>
    <col min="370" max="370" width="7.1796875" bestFit="1" customWidth="1"/>
    <col min="371" max="371" width="6.54296875" bestFit="1" customWidth="1"/>
    <col min="372" max="372" width="6.81640625" bestFit="1" customWidth="1"/>
    <col min="373" max="373" width="7.1796875" bestFit="1" customWidth="1"/>
    <col min="374" max="374" width="6.54296875" bestFit="1" customWidth="1"/>
    <col min="375" max="375" width="6.81640625" bestFit="1" customWidth="1"/>
    <col min="376" max="376" width="7.1796875" bestFit="1" customWidth="1"/>
    <col min="377" max="377" width="6.54296875" bestFit="1" customWidth="1"/>
    <col min="378" max="378" width="6.81640625" bestFit="1" customWidth="1"/>
    <col min="379" max="379" width="7.1796875" bestFit="1" customWidth="1"/>
    <col min="380" max="380" width="6.54296875" bestFit="1" customWidth="1"/>
    <col min="381" max="381" width="6.81640625" bestFit="1" customWidth="1"/>
    <col min="382" max="382" width="7.1796875" bestFit="1" customWidth="1"/>
    <col min="383" max="383" width="6.54296875" bestFit="1" customWidth="1"/>
    <col min="384" max="384" width="6.81640625" bestFit="1" customWidth="1"/>
    <col min="385" max="385" width="7.1796875" bestFit="1" customWidth="1"/>
    <col min="386" max="386" width="6.54296875" bestFit="1" customWidth="1"/>
    <col min="387" max="387" width="6.81640625" bestFit="1" customWidth="1"/>
    <col min="388" max="388" width="7.1796875" bestFit="1" customWidth="1"/>
    <col min="389" max="389" width="6.54296875" bestFit="1" customWidth="1"/>
    <col min="390" max="390" width="6.81640625" bestFit="1" customWidth="1"/>
    <col min="391" max="391" width="7.1796875" bestFit="1" customWidth="1"/>
    <col min="392" max="392" width="6.54296875" bestFit="1" customWidth="1"/>
    <col min="393" max="393" width="6.81640625" bestFit="1" customWidth="1"/>
    <col min="394" max="394" width="7.1796875" bestFit="1" customWidth="1"/>
    <col min="395" max="395" width="6.54296875" bestFit="1" customWidth="1"/>
    <col min="396" max="396" width="6.81640625" bestFit="1" customWidth="1"/>
    <col min="397" max="397" width="7.1796875" bestFit="1" customWidth="1"/>
    <col min="398" max="398" width="6.54296875" bestFit="1" customWidth="1"/>
    <col min="399" max="399" width="6.81640625" bestFit="1" customWidth="1"/>
    <col min="400" max="400" width="7.1796875" bestFit="1" customWidth="1"/>
    <col min="401" max="401" width="6.54296875" bestFit="1" customWidth="1"/>
    <col min="402" max="402" width="6.81640625" bestFit="1" customWidth="1"/>
    <col min="403" max="403" width="7.1796875" bestFit="1" customWidth="1"/>
    <col min="404" max="404" width="6.54296875" bestFit="1" customWidth="1"/>
    <col min="405" max="405" width="6.81640625" bestFit="1" customWidth="1"/>
    <col min="406" max="406" width="7.1796875" bestFit="1" customWidth="1"/>
    <col min="407" max="407" width="6.54296875" bestFit="1" customWidth="1"/>
    <col min="408" max="408" width="6.81640625" bestFit="1" customWidth="1"/>
    <col min="409" max="409" width="7.1796875" bestFit="1" customWidth="1"/>
    <col min="410" max="410" width="6.54296875" bestFit="1" customWidth="1"/>
    <col min="411" max="411" width="6.81640625" bestFit="1" customWidth="1"/>
    <col min="412" max="412" width="7.1796875" bestFit="1" customWidth="1"/>
    <col min="413" max="413" width="6.54296875" bestFit="1" customWidth="1"/>
    <col min="414" max="414" width="6.81640625" bestFit="1" customWidth="1"/>
    <col min="415" max="415" width="7.1796875" bestFit="1" customWidth="1"/>
    <col min="416" max="416" width="6.54296875" bestFit="1" customWidth="1"/>
    <col min="417" max="417" width="6.81640625" bestFit="1" customWidth="1"/>
    <col min="418" max="418" width="7.1796875" bestFit="1" customWidth="1"/>
    <col min="419" max="419" width="6.54296875" bestFit="1" customWidth="1"/>
    <col min="420" max="420" width="6.81640625" bestFit="1" customWidth="1"/>
    <col min="421" max="421" width="7.1796875" bestFit="1" customWidth="1"/>
    <col min="422" max="422" width="6.54296875" bestFit="1" customWidth="1"/>
    <col min="423" max="423" width="6.81640625" bestFit="1" customWidth="1"/>
    <col min="424" max="424" width="7.1796875" bestFit="1" customWidth="1"/>
    <col min="425" max="425" width="6.54296875" bestFit="1" customWidth="1"/>
    <col min="426" max="426" width="6.81640625" bestFit="1" customWidth="1"/>
    <col min="427" max="427" width="7.1796875" bestFit="1" customWidth="1"/>
    <col min="428" max="428" width="6.54296875" bestFit="1" customWidth="1"/>
    <col min="429" max="429" width="6.81640625" bestFit="1" customWidth="1"/>
    <col min="430" max="430" width="7.1796875" bestFit="1" customWidth="1"/>
    <col min="431" max="431" width="6.54296875" bestFit="1" customWidth="1"/>
    <col min="432" max="432" width="6.81640625" bestFit="1" customWidth="1"/>
    <col min="433" max="433" width="7.1796875" bestFit="1" customWidth="1"/>
    <col min="434" max="434" width="6.54296875" bestFit="1" customWidth="1"/>
    <col min="435" max="435" width="6.81640625" bestFit="1" customWidth="1"/>
    <col min="436" max="436" width="7.1796875" bestFit="1" customWidth="1"/>
    <col min="437" max="437" width="6.54296875" bestFit="1" customWidth="1"/>
    <col min="438" max="438" width="6.81640625" bestFit="1" customWidth="1"/>
    <col min="439" max="439" width="7.1796875" bestFit="1" customWidth="1"/>
    <col min="440" max="440" width="6.54296875" bestFit="1" customWidth="1"/>
    <col min="441" max="441" width="6.81640625" bestFit="1" customWidth="1"/>
    <col min="442" max="442" width="7.1796875" bestFit="1" customWidth="1"/>
    <col min="443" max="443" width="6.54296875" bestFit="1" customWidth="1"/>
    <col min="444" max="444" width="6.81640625" bestFit="1" customWidth="1"/>
    <col min="445" max="445" width="7.1796875" bestFit="1" customWidth="1"/>
    <col min="446" max="446" width="6.54296875" bestFit="1" customWidth="1"/>
    <col min="447" max="447" width="6.81640625" bestFit="1" customWidth="1"/>
    <col min="448" max="448" width="7.1796875" bestFit="1" customWidth="1"/>
    <col min="449" max="449" width="6.54296875" bestFit="1" customWidth="1"/>
    <col min="450" max="450" width="6.81640625" bestFit="1" customWidth="1"/>
    <col min="451" max="451" width="7.1796875" bestFit="1" customWidth="1"/>
    <col min="452" max="452" width="6.54296875" bestFit="1" customWidth="1"/>
    <col min="453" max="453" width="6.81640625" bestFit="1" customWidth="1"/>
    <col min="454" max="454" width="7.1796875" bestFit="1" customWidth="1"/>
    <col min="455" max="455" width="6.54296875" bestFit="1" customWidth="1"/>
    <col min="456" max="456" width="6.81640625" bestFit="1" customWidth="1"/>
    <col min="457" max="457" width="7.1796875" bestFit="1" customWidth="1"/>
    <col min="458" max="458" width="6.54296875" bestFit="1" customWidth="1"/>
    <col min="459" max="459" width="6.81640625" bestFit="1" customWidth="1"/>
    <col min="460" max="460" width="7.1796875" bestFit="1" customWidth="1"/>
    <col min="461" max="461" width="6.54296875" bestFit="1" customWidth="1"/>
    <col min="462" max="462" width="6.81640625" bestFit="1" customWidth="1"/>
    <col min="463" max="463" width="7.1796875" bestFit="1" customWidth="1"/>
    <col min="464" max="464" width="6.54296875" bestFit="1" customWidth="1"/>
    <col min="465" max="465" width="6.81640625" bestFit="1" customWidth="1"/>
    <col min="466" max="466" width="7.1796875" bestFit="1" customWidth="1"/>
    <col min="467" max="467" width="6.54296875" bestFit="1" customWidth="1"/>
    <col min="468" max="468" width="6.81640625" bestFit="1" customWidth="1"/>
    <col min="469" max="469" width="7.1796875" bestFit="1" customWidth="1"/>
    <col min="470" max="470" width="6.54296875" bestFit="1" customWidth="1"/>
    <col min="471" max="471" width="6.81640625" bestFit="1" customWidth="1"/>
    <col min="472" max="472" width="7.1796875" bestFit="1" customWidth="1"/>
    <col min="473" max="473" width="6.54296875" bestFit="1" customWidth="1"/>
    <col min="474" max="474" width="6.81640625" bestFit="1" customWidth="1"/>
    <col min="475" max="475" width="7.1796875" bestFit="1" customWidth="1"/>
    <col min="476" max="476" width="6.54296875" bestFit="1" customWidth="1"/>
    <col min="477" max="477" width="6.81640625" bestFit="1" customWidth="1"/>
    <col min="478" max="478" width="7.1796875" bestFit="1" customWidth="1"/>
    <col min="479" max="479" width="6.54296875" bestFit="1" customWidth="1"/>
    <col min="480" max="480" width="6.81640625" bestFit="1" customWidth="1"/>
    <col min="481" max="481" width="7.1796875" bestFit="1" customWidth="1"/>
    <col min="482" max="482" width="6.54296875" bestFit="1" customWidth="1"/>
    <col min="483" max="483" width="6.81640625" bestFit="1" customWidth="1"/>
    <col min="484" max="484" width="7.1796875" bestFit="1" customWidth="1"/>
    <col min="485" max="485" width="6.54296875" bestFit="1" customWidth="1"/>
    <col min="486" max="486" width="6.81640625" bestFit="1" customWidth="1"/>
    <col min="487" max="487" width="7.1796875" bestFit="1" customWidth="1"/>
    <col min="488" max="488" width="6.54296875" bestFit="1" customWidth="1"/>
    <col min="489" max="489" width="6.81640625" bestFit="1" customWidth="1"/>
    <col min="490" max="490" width="7.1796875" bestFit="1" customWidth="1"/>
    <col min="491" max="491" width="6.54296875" bestFit="1" customWidth="1"/>
    <col min="492" max="492" width="6.81640625" bestFit="1" customWidth="1"/>
    <col min="493" max="493" width="7.1796875" bestFit="1" customWidth="1"/>
    <col min="494" max="494" width="6.54296875" bestFit="1" customWidth="1"/>
    <col min="495" max="495" width="6.81640625" bestFit="1" customWidth="1"/>
    <col min="496" max="496" width="7.1796875" bestFit="1" customWidth="1"/>
    <col min="497" max="497" width="6.54296875" bestFit="1" customWidth="1"/>
    <col min="498" max="498" width="6.81640625" bestFit="1" customWidth="1"/>
    <col min="499" max="499" width="7.1796875" bestFit="1" customWidth="1"/>
    <col min="500" max="500" width="6.54296875" bestFit="1" customWidth="1"/>
    <col min="501" max="501" width="6.81640625" bestFit="1" customWidth="1"/>
    <col min="502" max="502" width="7.1796875" bestFit="1" customWidth="1"/>
    <col min="503" max="503" width="6.54296875" bestFit="1" customWidth="1"/>
    <col min="504" max="504" width="6.81640625" bestFit="1" customWidth="1"/>
    <col min="505" max="505" width="7.1796875" bestFit="1" customWidth="1"/>
    <col min="506" max="506" width="6.54296875" bestFit="1" customWidth="1"/>
    <col min="507" max="507" width="6.81640625" bestFit="1" customWidth="1"/>
    <col min="508" max="508" width="7.1796875" bestFit="1" customWidth="1"/>
    <col min="509" max="509" width="6.54296875" bestFit="1" customWidth="1"/>
    <col min="510" max="510" width="6.81640625" bestFit="1" customWidth="1"/>
    <col min="511" max="511" width="7.1796875" bestFit="1" customWidth="1"/>
    <col min="512" max="512" width="6.54296875" bestFit="1" customWidth="1"/>
    <col min="513" max="513" width="6.81640625" bestFit="1" customWidth="1"/>
    <col min="514" max="514" width="7.1796875" bestFit="1" customWidth="1"/>
    <col min="515" max="515" width="6.54296875" bestFit="1" customWidth="1"/>
    <col min="516" max="516" width="6.81640625" bestFit="1" customWidth="1"/>
    <col min="517" max="517" width="7.1796875" bestFit="1" customWidth="1"/>
    <col min="518" max="518" width="6.54296875" bestFit="1" customWidth="1"/>
    <col min="519" max="519" width="6.81640625" bestFit="1" customWidth="1"/>
    <col min="520" max="520" width="7.1796875" bestFit="1" customWidth="1"/>
    <col min="521" max="521" width="6.54296875" bestFit="1" customWidth="1"/>
    <col min="522" max="522" width="6.81640625" bestFit="1" customWidth="1"/>
    <col min="523" max="523" width="7.1796875" bestFit="1" customWidth="1"/>
    <col min="524" max="524" width="6.54296875" bestFit="1" customWidth="1"/>
    <col min="525" max="525" width="6.81640625" bestFit="1" customWidth="1"/>
    <col min="526" max="526" width="7.1796875" bestFit="1" customWidth="1"/>
    <col min="527" max="527" width="6.54296875" bestFit="1" customWidth="1"/>
    <col min="528" max="528" width="6.81640625" bestFit="1" customWidth="1"/>
    <col min="529" max="529" width="7.1796875" bestFit="1" customWidth="1"/>
    <col min="530" max="530" width="6.54296875" bestFit="1" customWidth="1"/>
    <col min="531" max="531" width="6.81640625" bestFit="1" customWidth="1"/>
    <col min="532" max="532" width="7.1796875" bestFit="1" customWidth="1"/>
    <col min="533" max="533" width="6.54296875" bestFit="1" customWidth="1"/>
    <col min="534" max="534" width="6.81640625" bestFit="1" customWidth="1"/>
    <col min="535" max="535" width="7.1796875" bestFit="1" customWidth="1"/>
    <col min="536" max="536" width="6.54296875" bestFit="1" customWidth="1"/>
    <col min="537" max="537" width="6.81640625" bestFit="1" customWidth="1"/>
    <col min="538" max="538" width="7.1796875" bestFit="1" customWidth="1"/>
    <col min="539" max="539" width="6.54296875" bestFit="1" customWidth="1"/>
    <col min="540" max="540" width="6.81640625" bestFit="1" customWidth="1"/>
    <col min="541" max="541" width="7.1796875" bestFit="1" customWidth="1"/>
    <col min="542" max="542" width="6.54296875" bestFit="1" customWidth="1"/>
    <col min="543" max="543" width="6.81640625" bestFit="1" customWidth="1"/>
    <col min="544" max="544" width="7.1796875" bestFit="1" customWidth="1"/>
    <col min="545" max="545" width="6.54296875" bestFit="1" customWidth="1"/>
    <col min="546" max="546" width="6.81640625" bestFit="1" customWidth="1"/>
    <col min="547" max="547" width="7.1796875" bestFit="1" customWidth="1"/>
    <col min="548" max="548" width="6.54296875" bestFit="1" customWidth="1"/>
    <col min="549" max="549" width="6.81640625" bestFit="1" customWidth="1"/>
    <col min="550" max="550" width="7.1796875" bestFit="1" customWidth="1"/>
    <col min="551" max="551" width="6.54296875" bestFit="1" customWidth="1"/>
    <col min="552" max="552" width="6.81640625" bestFit="1" customWidth="1"/>
    <col min="553" max="553" width="7.1796875" bestFit="1" customWidth="1"/>
    <col min="554" max="554" width="6.54296875" bestFit="1" customWidth="1"/>
    <col min="555" max="555" width="6.81640625" bestFit="1" customWidth="1"/>
    <col min="556" max="556" width="7.1796875" bestFit="1" customWidth="1"/>
    <col min="557" max="557" width="6.54296875" bestFit="1" customWidth="1"/>
    <col min="558" max="558" width="6.81640625" bestFit="1" customWidth="1"/>
    <col min="559" max="559" width="7.1796875" bestFit="1" customWidth="1"/>
    <col min="560" max="560" width="6.54296875" bestFit="1" customWidth="1"/>
    <col min="561" max="561" width="6.81640625" bestFit="1" customWidth="1"/>
    <col min="562" max="562" width="7.1796875" bestFit="1" customWidth="1"/>
    <col min="563" max="563" width="6.54296875" bestFit="1" customWidth="1"/>
    <col min="564" max="564" width="6.81640625" bestFit="1" customWidth="1"/>
    <col min="565" max="565" width="7.1796875" bestFit="1" customWidth="1"/>
    <col min="566" max="566" width="6.54296875" bestFit="1" customWidth="1"/>
    <col min="567" max="567" width="6.81640625" bestFit="1" customWidth="1"/>
    <col min="568" max="568" width="7.1796875" bestFit="1" customWidth="1"/>
    <col min="569" max="569" width="6.54296875" bestFit="1" customWidth="1"/>
    <col min="570" max="570" width="6.81640625" bestFit="1" customWidth="1"/>
    <col min="571" max="571" width="7.1796875" bestFit="1" customWidth="1"/>
    <col min="572" max="573" width="6.54296875" bestFit="1" customWidth="1"/>
    <col min="574" max="575" width="6.81640625" bestFit="1" customWidth="1"/>
    <col min="576" max="577" width="7.1796875" bestFit="1" customWidth="1"/>
    <col min="578" max="578" width="6.54296875" bestFit="1" customWidth="1"/>
    <col min="579" max="579" width="6.81640625" bestFit="1" customWidth="1"/>
    <col min="580" max="580" width="7.1796875" bestFit="1" customWidth="1"/>
    <col min="581" max="581" width="6.54296875" bestFit="1" customWidth="1"/>
    <col min="582" max="582" width="6.81640625" bestFit="1" customWidth="1"/>
    <col min="583" max="583" width="7.1796875" bestFit="1" customWidth="1"/>
    <col min="584" max="584" width="6.54296875" bestFit="1" customWidth="1"/>
    <col min="585" max="585" width="6.81640625" bestFit="1" customWidth="1"/>
    <col min="586" max="586" width="7.1796875" bestFit="1" customWidth="1"/>
    <col min="587" max="587" width="6.54296875" bestFit="1" customWidth="1"/>
    <col min="588" max="588" width="6.81640625" bestFit="1" customWidth="1"/>
    <col min="589" max="589" width="7.1796875" bestFit="1" customWidth="1"/>
    <col min="590" max="590" width="6.54296875" bestFit="1" customWidth="1"/>
    <col min="591" max="591" width="6.81640625" bestFit="1" customWidth="1"/>
    <col min="592" max="592" width="7.1796875" bestFit="1" customWidth="1"/>
    <col min="593" max="593" width="6.54296875" bestFit="1" customWidth="1"/>
    <col min="594" max="594" width="6.81640625" bestFit="1" customWidth="1"/>
    <col min="595" max="595" width="7.1796875" bestFit="1" customWidth="1"/>
    <col min="596" max="596" width="6.54296875" bestFit="1" customWidth="1"/>
    <col min="597" max="597" width="6.81640625" bestFit="1" customWidth="1"/>
    <col min="598" max="598" width="7.1796875" bestFit="1" customWidth="1"/>
    <col min="599" max="599" width="6.54296875" bestFit="1" customWidth="1"/>
    <col min="600" max="600" width="6.81640625" bestFit="1" customWidth="1"/>
    <col min="601" max="601" width="7.1796875" bestFit="1" customWidth="1"/>
    <col min="602" max="602" width="6.54296875" bestFit="1" customWidth="1"/>
    <col min="603" max="603" width="6.81640625" bestFit="1" customWidth="1"/>
    <col min="604" max="604" width="7.1796875" bestFit="1" customWidth="1"/>
    <col min="605" max="605" width="6.54296875" bestFit="1" customWidth="1"/>
    <col min="606" max="606" width="6.81640625" bestFit="1" customWidth="1"/>
    <col min="607" max="607" width="7.1796875" bestFit="1" customWidth="1"/>
    <col min="608" max="608" width="6.54296875" bestFit="1" customWidth="1"/>
    <col min="609" max="609" width="6.81640625" bestFit="1" customWidth="1"/>
    <col min="610" max="610" width="7.1796875" bestFit="1" customWidth="1"/>
    <col min="611" max="611" width="6.54296875" bestFit="1" customWidth="1"/>
    <col min="612" max="612" width="6.81640625" bestFit="1" customWidth="1"/>
    <col min="613" max="613" width="7.1796875" bestFit="1" customWidth="1"/>
    <col min="614" max="614" width="6.54296875" bestFit="1" customWidth="1"/>
    <col min="615" max="615" width="6.81640625" bestFit="1" customWidth="1"/>
    <col min="616" max="616" width="7.1796875" bestFit="1" customWidth="1"/>
    <col min="617" max="617" width="6.54296875" bestFit="1" customWidth="1"/>
    <col min="618" max="618" width="6.81640625" bestFit="1" customWidth="1"/>
    <col min="619" max="619" width="7.1796875" bestFit="1" customWidth="1"/>
    <col min="620" max="620" width="6.54296875" bestFit="1" customWidth="1"/>
    <col min="621" max="621" width="6.81640625" bestFit="1" customWidth="1"/>
    <col min="622" max="622" width="7.1796875" bestFit="1" customWidth="1"/>
    <col min="623" max="623" width="6.54296875" bestFit="1" customWidth="1"/>
    <col min="624" max="624" width="6.81640625" bestFit="1" customWidth="1"/>
    <col min="625" max="625" width="7.1796875" bestFit="1" customWidth="1"/>
    <col min="626" max="626" width="6.54296875" bestFit="1" customWidth="1"/>
    <col min="627" max="627" width="6.81640625" bestFit="1" customWidth="1"/>
    <col min="628" max="628" width="7.1796875" bestFit="1" customWidth="1"/>
    <col min="629" max="629" width="6.54296875" bestFit="1" customWidth="1"/>
    <col min="630" max="630" width="6.81640625" bestFit="1" customWidth="1"/>
    <col min="631" max="631" width="7.1796875" bestFit="1" customWidth="1"/>
    <col min="632" max="632" width="6.54296875" bestFit="1" customWidth="1"/>
    <col min="633" max="633" width="6.81640625" bestFit="1" customWidth="1"/>
    <col min="634" max="634" width="7.1796875" bestFit="1" customWidth="1"/>
    <col min="635" max="635" width="6.54296875" bestFit="1" customWidth="1"/>
    <col min="636" max="636" width="6.81640625" bestFit="1" customWidth="1"/>
    <col min="637" max="637" width="7.1796875" bestFit="1" customWidth="1"/>
    <col min="638" max="638" width="6.54296875" bestFit="1" customWidth="1"/>
    <col min="639" max="639" width="6.81640625" bestFit="1" customWidth="1"/>
    <col min="640" max="640" width="7.1796875" bestFit="1" customWidth="1"/>
    <col min="641" max="641" width="6.54296875" bestFit="1" customWidth="1"/>
    <col min="642" max="642" width="6.81640625" bestFit="1" customWidth="1"/>
    <col min="643" max="643" width="7.1796875" bestFit="1" customWidth="1"/>
    <col min="644" max="644" width="6.54296875" bestFit="1" customWidth="1"/>
    <col min="645" max="645" width="6.81640625" bestFit="1" customWidth="1"/>
    <col min="646" max="646" width="7.1796875" bestFit="1" customWidth="1"/>
    <col min="647" max="647" width="6.54296875" bestFit="1" customWidth="1"/>
    <col min="648" max="648" width="6.81640625" bestFit="1" customWidth="1"/>
    <col min="649" max="649" width="7.1796875" bestFit="1" customWidth="1"/>
    <col min="650" max="650" width="6.54296875" bestFit="1" customWidth="1"/>
    <col min="651" max="651" width="6.81640625" bestFit="1" customWidth="1"/>
    <col min="652" max="652" width="7.1796875" bestFit="1" customWidth="1"/>
    <col min="653" max="653" width="6.54296875" bestFit="1" customWidth="1"/>
    <col min="654" max="654" width="6.81640625" bestFit="1" customWidth="1"/>
    <col min="655" max="655" width="7.1796875" bestFit="1" customWidth="1"/>
    <col min="656" max="656" width="6.54296875" bestFit="1" customWidth="1"/>
    <col min="657" max="657" width="6.81640625" bestFit="1" customWidth="1"/>
    <col min="658" max="658" width="7.1796875" bestFit="1" customWidth="1"/>
    <col min="659" max="659" width="6.54296875" bestFit="1" customWidth="1"/>
    <col min="660" max="660" width="6.81640625" bestFit="1" customWidth="1"/>
    <col min="661" max="661" width="7.1796875" bestFit="1" customWidth="1"/>
    <col min="662" max="662" width="6.54296875" bestFit="1" customWidth="1"/>
    <col min="663" max="663" width="6.81640625" bestFit="1" customWidth="1"/>
    <col min="664" max="664" width="7.1796875" bestFit="1" customWidth="1"/>
    <col min="665" max="665" width="6.54296875" bestFit="1" customWidth="1"/>
    <col min="666" max="666" width="6.81640625" bestFit="1" customWidth="1"/>
    <col min="667" max="667" width="7.1796875" bestFit="1" customWidth="1"/>
    <col min="668" max="668" width="6.54296875" bestFit="1" customWidth="1"/>
    <col min="669" max="669" width="6.81640625" bestFit="1" customWidth="1"/>
    <col min="670" max="670" width="7.1796875" bestFit="1" customWidth="1"/>
    <col min="671" max="671" width="6.54296875" bestFit="1" customWidth="1"/>
    <col min="672" max="672" width="6.81640625" bestFit="1" customWidth="1"/>
    <col min="673" max="673" width="7.1796875" bestFit="1" customWidth="1"/>
    <col min="674" max="674" width="6.54296875" bestFit="1" customWidth="1"/>
    <col min="675" max="675" width="6.81640625" bestFit="1" customWidth="1"/>
    <col min="676" max="676" width="7.1796875" bestFit="1" customWidth="1"/>
    <col min="677" max="677" width="6.54296875" bestFit="1" customWidth="1"/>
    <col min="678" max="678" width="6.81640625" bestFit="1" customWidth="1"/>
    <col min="679" max="679" width="7.1796875" bestFit="1" customWidth="1"/>
    <col min="680" max="680" width="6.54296875" bestFit="1" customWidth="1"/>
    <col min="681" max="681" width="6.81640625" bestFit="1" customWidth="1"/>
    <col min="682" max="682" width="7.1796875" bestFit="1" customWidth="1"/>
    <col min="683" max="683" width="6.54296875" bestFit="1" customWidth="1"/>
    <col min="684" max="684" width="6.81640625" bestFit="1" customWidth="1"/>
    <col min="685" max="685" width="7.1796875" bestFit="1" customWidth="1"/>
    <col min="686" max="686" width="6.54296875" bestFit="1" customWidth="1"/>
    <col min="687" max="687" width="6.81640625" bestFit="1" customWidth="1"/>
    <col min="688" max="688" width="7.1796875" bestFit="1" customWidth="1"/>
    <col min="689" max="689" width="6.54296875" bestFit="1" customWidth="1"/>
    <col min="690" max="690" width="6.81640625" bestFit="1" customWidth="1"/>
    <col min="691" max="691" width="7.1796875" bestFit="1" customWidth="1"/>
    <col min="692" max="692" width="6.54296875" bestFit="1" customWidth="1"/>
    <col min="693" max="693" width="6.81640625" bestFit="1" customWidth="1"/>
    <col min="694" max="694" width="7.1796875" bestFit="1" customWidth="1"/>
    <col min="695" max="695" width="6.54296875" bestFit="1" customWidth="1"/>
    <col min="696" max="696" width="6.81640625" bestFit="1" customWidth="1"/>
    <col min="697" max="697" width="7.1796875" bestFit="1" customWidth="1"/>
    <col min="698" max="698" width="6.54296875" bestFit="1" customWidth="1"/>
    <col min="699" max="699" width="6.81640625" bestFit="1" customWidth="1"/>
    <col min="700" max="700" width="7.1796875" bestFit="1" customWidth="1"/>
    <col min="701" max="701" width="6.54296875" bestFit="1" customWidth="1"/>
    <col min="702" max="702" width="6.81640625" bestFit="1" customWidth="1"/>
    <col min="703" max="703" width="7.1796875" bestFit="1" customWidth="1"/>
    <col min="704" max="704" width="6.54296875" bestFit="1" customWidth="1"/>
    <col min="705" max="705" width="6.81640625" bestFit="1" customWidth="1"/>
    <col min="706" max="706" width="7.1796875" bestFit="1" customWidth="1"/>
    <col min="707" max="707" width="6.54296875" bestFit="1" customWidth="1"/>
    <col min="708" max="708" width="6.81640625" bestFit="1" customWidth="1"/>
    <col min="709" max="709" width="7.1796875" bestFit="1" customWidth="1"/>
    <col min="710" max="710" width="6.54296875" bestFit="1" customWidth="1"/>
    <col min="711" max="711" width="6.81640625" bestFit="1" customWidth="1"/>
    <col min="712" max="712" width="7.1796875" bestFit="1" customWidth="1"/>
    <col min="713" max="713" width="6.54296875" bestFit="1" customWidth="1"/>
    <col min="714" max="714" width="6.81640625" bestFit="1" customWidth="1"/>
    <col min="715" max="715" width="7.1796875" bestFit="1" customWidth="1"/>
    <col min="716" max="716" width="6.54296875" bestFit="1" customWidth="1"/>
    <col min="717" max="717" width="6.81640625" bestFit="1" customWidth="1"/>
    <col min="718" max="718" width="7.1796875" bestFit="1" customWidth="1"/>
    <col min="719" max="719" width="6.54296875" bestFit="1" customWidth="1"/>
    <col min="720" max="720" width="6.81640625" bestFit="1" customWidth="1"/>
    <col min="721" max="721" width="7.1796875" bestFit="1" customWidth="1"/>
    <col min="722" max="722" width="6.54296875" bestFit="1" customWidth="1"/>
    <col min="723" max="723" width="6.81640625" bestFit="1" customWidth="1"/>
    <col min="724" max="724" width="7.1796875" bestFit="1" customWidth="1"/>
    <col min="725" max="725" width="6.54296875" bestFit="1" customWidth="1"/>
    <col min="726" max="726" width="6.81640625" bestFit="1" customWidth="1"/>
    <col min="727" max="727" width="7.1796875" bestFit="1" customWidth="1"/>
    <col min="728" max="728" width="6.54296875" bestFit="1" customWidth="1"/>
    <col min="729" max="729" width="6.81640625" bestFit="1" customWidth="1"/>
    <col min="730" max="730" width="7.1796875" bestFit="1" customWidth="1"/>
    <col min="731" max="732" width="6.54296875" bestFit="1" customWidth="1"/>
    <col min="733" max="734" width="6.81640625" bestFit="1" customWidth="1"/>
    <col min="735" max="736" width="7.1796875" bestFit="1" customWidth="1"/>
    <col min="737" max="737" width="6.54296875" bestFit="1" customWidth="1"/>
    <col min="738" max="738" width="6.81640625" bestFit="1" customWidth="1"/>
    <col min="739" max="739" width="7.1796875" bestFit="1" customWidth="1"/>
    <col min="740" max="740" width="6.54296875" bestFit="1" customWidth="1"/>
    <col min="741" max="741" width="6.81640625" bestFit="1" customWidth="1"/>
    <col min="742" max="742" width="7.1796875" bestFit="1" customWidth="1"/>
    <col min="743" max="743" width="6.54296875" bestFit="1" customWidth="1"/>
    <col min="744" max="744" width="6.81640625" bestFit="1" customWidth="1"/>
    <col min="745" max="745" width="7.1796875" bestFit="1" customWidth="1"/>
    <col min="746" max="746" width="6.54296875" bestFit="1" customWidth="1"/>
    <col min="747" max="747" width="6.81640625" bestFit="1" customWidth="1"/>
    <col min="748" max="748" width="7.1796875" bestFit="1" customWidth="1"/>
    <col min="749" max="749" width="6.54296875" bestFit="1" customWidth="1"/>
    <col min="750" max="750" width="6.81640625" bestFit="1" customWidth="1"/>
    <col min="751" max="751" width="7.1796875" bestFit="1" customWidth="1"/>
    <col min="752" max="752" width="6.54296875" bestFit="1" customWidth="1"/>
    <col min="753" max="754" width="7.1796875" bestFit="1" customWidth="1"/>
    <col min="755" max="755" width="6.54296875" bestFit="1" customWidth="1"/>
    <col min="756" max="756" width="6.81640625" bestFit="1" customWidth="1"/>
    <col min="757" max="757" width="7.1796875" bestFit="1" customWidth="1"/>
    <col min="758" max="758" width="6.54296875" bestFit="1" customWidth="1"/>
    <col min="759" max="759" width="6.81640625" bestFit="1" customWidth="1"/>
    <col min="760" max="760" width="7.1796875" bestFit="1" customWidth="1"/>
    <col min="761" max="761" width="6.54296875" bestFit="1" customWidth="1"/>
    <col min="762" max="762" width="6.81640625" bestFit="1" customWidth="1"/>
    <col min="763" max="763" width="7.1796875" bestFit="1" customWidth="1"/>
    <col min="764" max="765" width="6.54296875" bestFit="1" customWidth="1"/>
    <col min="766" max="767" width="6.81640625" bestFit="1" customWidth="1"/>
    <col min="768" max="769" width="7.1796875" bestFit="1" customWidth="1"/>
    <col min="770" max="770" width="6.54296875" bestFit="1" customWidth="1"/>
    <col min="771" max="771" width="6.81640625" bestFit="1" customWidth="1"/>
    <col min="772" max="772" width="7.1796875" bestFit="1" customWidth="1"/>
    <col min="773" max="773" width="6.54296875" bestFit="1" customWidth="1"/>
    <col min="774" max="774" width="6.81640625" bestFit="1" customWidth="1"/>
    <col min="775" max="775" width="7.1796875" bestFit="1" customWidth="1"/>
    <col min="776" max="776" width="6.54296875" bestFit="1" customWidth="1"/>
    <col min="777" max="777" width="6.81640625" bestFit="1" customWidth="1"/>
    <col min="778" max="778" width="7.1796875" bestFit="1" customWidth="1"/>
    <col min="779" max="779" width="6.54296875" bestFit="1" customWidth="1"/>
    <col min="780" max="780" width="6.81640625" bestFit="1" customWidth="1"/>
    <col min="781" max="781" width="7.1796875" bestFit="1" customWidth="1"/>
    <col min="782" max="782" width="6.54296875" bestFit="1" customWidth="1"/>
    <col min="783" max="783" width="6.81640625" bestFit="1" customWidth="1"/>
    <col min="784" max="784" width="7.1796875" bestFit="1" customWidth="1"/>
    <col min="785" max="785" width="6.54296875" bestFit="1" customWidth="1"/>
    <col min="786" max="786" width="6.81640625" bestFit="1" customWidth="1"/>
    <col min="787" max="787" width="7.1796875" bestFit="1" customWidth="1"/>
    <col min="788" max="788" width="6.54296875" bestFit="1" customWidth="1"/>
    <col min="789" max="789" width="6.81640625" bestFit="1" customWidth="1"/>
    <col min="790" max="790" width="7.1796875" bestFit="1" customWidth="1"/>
    <col min="791" max="791" width="6.54296875" bestFit="1" customWidth="1"/>
    <col min="792" max="792" width="6.81640625" bestFit="1" customWidth="1"/>
    <col min="793" max="793" width="7.1796875" bestFit="1" customWidth="1"/>
    <col min="794" max="794" width="6.54296875" bestFit="1" customWidth="1"/>
    <col min="795" max="795" width="6.81640625" bestFit="1" customWidth="1"/>
    <col min="796" max="796" width="7.1796875" bestFit="1" customWidth="1"/>
    <col min="797" max="797" width="6.54296875" bestFit="1" customWidth="1"/>
    <col min="798" max="798" width="6.81640625" bestFit="1" customWidth="1"/>
    <col min="799" max="799" width="7.1796875" bestFit="1" customWidth="1"/>
    <col min="800" max="800" width="6.54296875" bestFit="1" customWidth="1"/>
    <col min="801" max="801" width="6.81640625" bestFit="1" customWidth="1"/>
    <col min="802" max="802" width="7.1796875" bestFit="1" customWidth="1"/>
    <col min="803" max="803" width="6.54296875" bestFit="1" customWidth="1"/>
    <col min="804" max="804" width="6.81640625" bestFit="1" customWidth="1"/>
    <col min="805" max="805" width="7.1796875" bestFit="1" customWidth="1"/>
    <col min="806" max="806" width="6.54296875" bestFit="1" customWidth="1"/>
    <col min="807" max="807" width="6.81640625" bestFit="1" customWidth="1"/>
    <col min="808" max="808" width="7.1796875" bestFit="1" customWidth="1"/>
    <col min="809" max="810" width="6.54296875" bestFit="1" customWidth="1"/>
    <col min="811" max="812" width="6.81640625" bestFit="1" customWidth="1"/>
    <col min="813" max="814" width="7.1796875" bestFit="1" customWidth="1"/>
    <col min="815" max="815" width="6.54296875" bestFit="1" customWidth="1"/>
    <col min="816" max="816" width="6.81640625" bestFit="1" customWidth="1"/>
    <col min="817" max="817" width="7.1796875" bestFit="1" customWidth="1"/>
    <col min="818" max="818" width="6.54296875" bestFit="1" customWidth="1"/>
    <col min="819" max="819" width="6.81640625" bestFit="1" customWidth="1"/>
    <col min="820" max="820" width="7.1796875" bestFit="1" customWidth="1"/>
    <col min="821" max="821" width="6.54296875" bestFit="1" customWidth="1"/>
    <col min="822" max="822" width="6.81640625" bestFit="1" customWidth="1"/>
    <col min="823" max="823" width="7.1796875" bestFit="1" customWidth="1"/>
    <col min="824" max="824" width="6.54296875" bestFit="1" customWidth="1"/>
    <col min="825" max="825" width="6.81640625" bestFit="1" customWidth="1"/>
    <col min="826" max="826" width="7.1796875" bestFit="1" customWidth="1"/>
    <col min="827" max="827" width="6.54296875" bestFit="1" customWidth="1"/>
    <col min="828" max="828" width="6.81640625" bestFit="1" customWidth="1"/>
    <col min="829" max="829" width="7.1796875" bestFit="1" customWidth="1"/>
    <col min="830" max="830" width="6.54296875" bestFit="1" customWidth="1"/>
    <col min="831" max="831" width="6.81640625" bestFit="1" customWidth="1"/>
    <col min="832" max="832" width="7.1796875" bestFit="1" customWidth="1"/>
    <col min="833" max="833" width="6.54296875" bestFit="1" customWidth="1"/>
    <col min="834" max="834" width="6.81640625" bestFit="1" customWidth="1"/>
    <col min="835" max="835" width="7.1796875" bestFit="1" customWidth="1"/>
    <col min="836" max="836" width="6.54296875" bestFit="1" customWidth="1"/>
    <col min="837" max="837" width="6.81640625" bestFit="1" customWidth="1"/>
    <col min="838" max="838" width="7.1796875" bestFit="1" customWidth="1"/>
    <col min="839" max="839" width="6.54296875" bestFit="1" customWidth="1"/>
    <col min="840" max="840" width="6.81640625" bestFit="1" customWidth="1"/>
    <col min="841" max="841" width="7.1796875" bestFit="1" customWidth="1"/>
    <col min="842" max="842" width="6.54296875" bestFit="1" customWidth="1"/>
    <col min="843" max="843" width="6.81640625" bestFit="1" customWidth="1"/>
    <col min="844" max="844" width="7.1796875" bestFit="1" customWidth="1"/>
    <col min="845" max="845" width="6.54296875" bestFit="1" customWidth="1"/>
    <col min="846" max="846" width="6.81640625" bestFit="1" customWidth="1"/>
    <col min="847" max="847" width="7.1796875" bestFit="1" customWidth="1"/>
    <col min="848" max="848" width="6.54296875" bestFit="1" customWidth="1"/>
    <col min="849" max="849" width="6.81640625" bestFit="1" customWidth="1"/>
    <col min="850" max="850" width="7.1796875" bestFit="1" customWidth="1"/>
    <col min="851" max="851" width="6.54296875" bestFit="1" customWidth="1"/>
    <col min="852" max="852" width="6.81640625" bestFit="1" customWidth="1"/>
    <col min="853" max="853" width="7.1796875" bestFit="1" customWidth="1"/>
    <col min="854" max="854" width="6.54296875" bestFit="1" customWidth="1"/>
    <col min="855" max="855" width="6.81640625" bestFit="1" customWidth="1"/>
    <col min="856" max="856" width="7.1796875" bestFit="1" customWidth="1"/>
    <col min="857" max="857" width="6.54296875" bestFit="1" customWidth="1"/>
    <col min="858" max="858" width="6.81640625" bestFit="1" customWidth="1"/>
    <col min="859" max="859" width="7.1796875" bestFit="1" customWidth="1"/>
    <col min="860" max="860" width="6.54296875" bestFit="1" customWidth="1"/>
    <col min="861" max="861" width="6.81640625" bestFit="1" customWidth="1"/>
    <col min="862" max="862" width="7.1796875" bestFit="1" customWidth="1"/>
    <col min="863" max="863" width="6.54296875" bestFit="1" customWidth="1"/>
    <col min="864" max="864" width="6.81640625" bestFit="1" customWidth="1"/>
    <col min="865" max="865" width="7.1796875" bestFit="1" customWidth="1"/>
    <col min="866" max="866" width="6.54296875" bestFit="1" customWidth="1"/>
    <col min="867" max="867" width="6.81640625" bestFit="1" customWidth="1"/>
    <col min="868" max="868" width="7.1796875" bestFit="1" customWidth="1"/>
    <col min="869" max="869" width="6.54296875" bestFit="1" customWidth="1"/>
    <col min="870" max="870" width="6.81640625" bestFit="1" customWidth="1"/>
    <col min="871" max="871" width="7.1796875" bestFit="1" customWidth="1"/>
    <col min="872" max="872" width="6.54296875" bestFit="1" customWidth="1"/>
    <col min="873" max="873" width="6.81640625" bestFit="1" customWidth="1"/>
    <col min="874" max="874" width="7.1796875" bestFit="1" customWidth="1"/>
    <col min="875" max="875" width="6.54296875" bestFit="1" customWidth="1"/>
    <col min="876" max="876" width="6.81640625" bestFit="1" customWidth="1"/>
    <col min="877" max="877" width="7.1796875" bestFit="1" customWidth="1"/>
    <col min="878" max="878" width="6.54296875" bestFit="1" customWidth="1"/>
    <col min="879" max="879" width="6.81640625" bestFit="1" customWidth="1"/>
    <col min="880" max="880" width="7.1796875" bestFit="1" customWidth="1"/>
    <col min="881" max="881" width="6.54296875" bestFit="1" customWidth="1"/>
    <col min="882" max="882" width="6.81640625" bestFit="1" customWidth="1"/>
    <col min="883" max="883" width="7.1796875" bestFit="1" customWidth="1"/>
    <col min="884" max="884" width="6.54296875" bestFit="1" customWidth="1"/>
    <col min="885" max="885" width="6.81640625" bestFit="1" customWidth="1"/>
    <col min="886" max="886" width="7.1796875" bestFit="1" customWidth="1"/>
    <col min="887" max="887" width="6.54296875" bestFit="1" customWidth="1"/>
    <col min="888" max="888" width="6.81640625" bestFit="1" customWidth="1"/>
    <col min="889" max="889" width="7.1796875" bestFit="1" customWidth="1"/>
    <col min="890" max="890" width="6.54296875" bestFit="1" customWidth="1"/>
    <col min="891" max="891" width="6.81640625" bestFit="1" customWidth="1"/>
    <col min="892" max="892" width="7.1796875" bestFit="1" customWidth="1"/>
    <col min="893" max="893" width="6.54296875" bestFit="1" customWidth="1"/>
    <col min="894" max="894" width="6.81640625" bestFit="1" customWidth="1"/>
    <col min="895" max="895" width="7.1796875" bestFit="1" customWidth="1"/>
    <col min="896" max="896" width="6.54296875" bestFit="1" customWidth="1"/>
    <col min="897" max="897" width="6.81640625" bestFit="1" customWidth="1"/>
    <col min="898" max="898" width="7.1796875" bestFit="1" customWidth="1"/>
    <col min="899" max="899" width="6.54296875" bestFit="1" customWidth="1"/>
    <col min="900" max="900" width="6.81640625" bestFit="1" customWidth="1"/>
    <col min="901" max="901" width="7.1796875" bestFit="1" customWidth="1"/>
    <col min="902" max="902" width="6.54296875" bestFit="1" customWidth="1"/>
    <col min="903" max="903" width="6.81640625" bestFit="1" customWidth="1"/>
    <col min="904" max="904" width="7.1796875" bestFit="1" customWidth="1"/>
    <col min="905" max="905" width="6.54296875" bestFit="1" customWidth="1"/>
    <col min="906" max="906" width="6.81640625" bestFit="1" customWidth="1"/>
    <col min="907" max="907" width="7.1796875" bestFit="1" customWidth="1"/>
    <col min="908" max="908" width="6.54296875" bestFit="1" customWidth="1"/>
    <col min="909" max="909" width="6.81640625" bestFit="1" customWidth="1"/>
    <col min="910" max="910" width="7.1796875" bestFit="1" customWidth="1"/>
    <col min="911" max="911" width="6.54296875" bestFit="1" customWidth="1"/>
    <col min="912" max="912" width="6.81640625" bestFit="1" customWidth="1"/>
    <col min="913" max="913" width="7.1796875" bestFit="1" customWidth="1"/>
    <col min="914" max="914" width="6.54296875" bestFit="1" customWidth="1"/>
    <col min="915" max="915" width="6.81640625" bestFit="1" customWidth="1"/>
    <col min="916" max="916" width="7.1796875" bestFit="1" customWidth="1"/>
    <col min="917" max="917" width="6.54296875" bestFit="1" customWidth="1"/>
    <col min="918" max="918" width="6.81640625" bestFit="1" customWidth="1"/>
    <col min="919" max="919" width="7.1796875" bestFit="1" customWidth="1"/>
    <col min="920" max="920" width="6.54296875" bestFit="1" customWidth="1"/>
    <col min="921" max="921" width="6.81640625" bestFit="1" customWidth="1"/>
    <col min="922" max="922" width="7.1796875" bestFit="1" customWidth="1"/>
    <col min="923" max="923" width="6.54296875" bestFit="1" customWidth="1"/>
    <col min="924" max="924" width="6.81640625" bestFit="1" customWidth="1"/>
    <col min="925" max="925" width="7.1796875" bestFit="1" customWidth="1"/>
    <col min="926" max="927" width="6.54296875" bestFit="1" customWidth="1"/>
    <col min="928" max="929" width="6.81640625" bestFit="1" customWidth="1"/>
    <col min="930" max="931" width="7.1796875" bestFit="1" customWidth="1"/>
    <col min="932" max="932" width="6.54296875" bestFit="1" customWidth="1"/>
    <col min="933" max="933" width="6.81640625" bestFit="1" customWidth="1"/>
    <col min="934" max="934" width="7.1796875" bestFit="1" customWidth="1"/>
    <col min="935" max="935" width="6.54296875" bestFit="1" customWidth="1"/>
    <col min="936" max="936" width="6.81640625" bestFit="1" customWidth="1"/>
    <col min="937" max="937" width="7.1796875" bestFit="1" customWidth="1"/>
    <col min="938" max="938" width="6.54296875" bestFit="1" customWidth="1"/>
    <col min="939" max="939" width="6.81640625" bestFit="1" customWidth="1"/>
    <col min="940" max="940" width="7.1796875" bestFit="1" customWidth="1"/>
    <col min="941" max="941" width="6.54296875" bestFit="1" customWidth="1"/>
    <col min="942" max="942" width="6.81640625" bestFit="1" customWidth="1"/>
    <col min="943" max="943" width="7.1796875" bestFit="1" customWidth="1"/>
    <col min="944" max="944" width="6.54296875" bestFit="1" customWidth="1"/>
    <col min="945" max="945" width="6.81640625" bestFit="1" customWidth="1"/>
    <col min="946" max="946" width="7.1796875" bestFit="1" customWidth="1"/>
    <col min="947" max="947" width="6.54296875" bestFit="1" customWidth="1"/>
    <col min="948" max="948" width="6.81640625" bestFit="1" customWidth="1"/>
    <col min="949" max="949" width="7.1796875" bestFit="1" customWidth="1"/>
    <col min="950" max="951" width="6.54296875" bestFit="1" customWidth="1"/>
    <col min="952" max="953" width="6.81640625" bestFit="1" customWidth="1"/>
    <col min="954" max="955" width="7.1796875" bestFit="1" customWidth="1"/>
    <col min="956" max="956" width="6.54296875" bestFit="1" customWidth="1"/>
    <col min="957" max="957" width="6.81640625" bestFit="1" customWidth="1"/>
    <col min="958" max="958" width="7.1796875" bestFit="1" customWidth="1"/>
    <col min="959" max="959" width="6.54296875" bestFit="1" customWidth="1"/>
    <col min="960" max="960" width="6.81640625" bestFit="1" customWidth="1"/>
    <col min="961" max="961" width="7.1796875" bestFit="1" customWidth="1"/>
    <col min="962" max="962" width="6.54296875" bestFit="1" customWidth="1"/>
    <col min="963" max="963" width="6.81640625" bestFit="1" customWidth="1"/>
    <col min="964" max="964" width="7.1796875" bestFit="1" customWidth="1"/>
    <col min="965" max="965" width="6.54296875" bestFit="1" customWidth="1"/>
    <col min="966" max="966" width="6.81640625" bestFit="1" customWidth="1"/>
    <col min="967" max="967" width="7.1796875" bestFit="1" customWidth="1"/>
    <col min="968" max="968" width="6.54296875" bestFit="1" customWidth="1"/>
    <col min="969" max="969" width="6.81640625" bestFit="1" customWidth="1"/>
    <col min="970" max="970" width="7.1796875" bestFit="1" customWidth="1"/>
    <col min="971" max="971" width="6.54296875" bestFit="1" customWidth="1"/>
    <col min="972" max="972" width="6.81640625" bestFit="1" customWidth="1"/>
    <col min="973" max="973" width="7.1796875" bestFit="1" customWidth="1"/>
    <col min="974" max="974" width="6.54296875" bestFit="1" customWidth="1"/>
    <col min="975" max="975" width="6.81640625" bestFit="1" customWidth="1"/>
    <col min="976" max="976" width="7.1796875" bestFit="1" customWidth="1"/>
    <col min="977" max="977" width="6.54296875" bestFit="1" customWidth="1"/>
    <col min="978" max="978" width="6.81640625" bestFit="1" customWidth="1"/>
    <col min="979" max="979" width="7.1796875" bestFit="1" customWidth="1"/>
    <col min="980" max="980" width="6.54296875" bestFit="1" customWidth="1"/>
    <col min="981" max="981" width="6.81640625" bestFit="1" customWidth="1"/>
    <col min="982" max="982" width="7.1796875" bestFit="1" customWidth="1"/>
    <col min="983" max="983" width="6.54296875" bestFit="1" customWidth="1"/>
    <col min="984" max="984" width="6.81640625" bestFit="1" customWidth="1"/>
    <col min="985" max="985" width="7.1796875" bestFit="1" customWidth="1"/>
    <col min="986" max="986" width="6.54296875" bestFit="1" customWidth="1"/>
    <col min="987" max="987" width="6.81640625" bestFit="1" customWidth="1"/>
    <col min="988" max="988" width="7.1796875" bestFit="1" customWidth="1"/>
    <col min="989" max="989" width="6.54296875" bestFit="1" customWidth="1"/>
    <col min="990" max="990" width="6.81640625" bestFit="1" customWidth="1"/>
    <col min="991" max="991" width="7.1796875" bestFit="1" customWidth="1"/>
    <col min="992" max="992" width="6.54296875" bestFit="1" customWidth="1"/>
    <col min="993" max="993" width="6.81640625" bestFit="1" customWidth="1"/>
    <col min="994" max="994" width="7.1796875" bestFit="1" customWidth="1"/>
    <col min="995" max="995" width="6.54296875" bestFit="1" customWidth="1"/>
    <col min="996" max="996" width="6.81640625" bestFit="1" customWidth="1"/>
    <col min="997" max="997" width="7.1796875" bestFit="1" customWidth="1"/>
    <col min="998" max="998" width="6.54296875" bestFit="1" customWidth="1"/>
    <col min="999" max="999" width="6.81640625" bestFit="1" customWidth="1"/>
    <col min="1000" max="1000" width="7.1796875" bestFit="1" customWidth="1"/>
    <col min="1001" max="1001" width="6.54296875" bestFit="1" customWidth="1"/>
    <col min="1002" max="1002" width="6.81640625" bestFit="1" customWidth="1"/>
    <col min="1003" max="1003" width="7.1796875" bestFit="1" customWidth="1"/>
    <col min="1004" max="1004" width="6.54296875" bestFit="1" customWidth="1"/>
    <col min="1005" max="1005" width="6.81640625" bestFit="1" customWidth="1"/>
    <col min="1006" max="1006" width="7.1796875" bestFit="1" customWidth="1"/>
    <col min="1007" max="1007" width="6.54296875" bestFit="1" customWidth="1"/>
    <col min="1008" max="1008" width="6.81640625" bestFit="1" customWidth="1"/>
    <col min="1009" max="1009" width="7.1796875" bestFit="1" customWidth="1"/>
    <col min="1010" max="1010" width="6.54296875" bestFit="1" customWidth="1"/>
    <col min="1011" max="1011" width="6.81640625" bestFit="1" customWidth="1"/>
    <col min="1012" max="1012" width="7.1796875" bestFit="1" customWidth="1"/>
    <col min="1013" max="1013" width="6.54296875" bestFit="1" customWidth="1"/>
    <col min="1014" max="1014" width="6.81640625" bestFit="1" customWidth="1"/>
    <col min="1015" max="1015" width="7.1796875" bestFit="1" customWidth="1"/>
    <col min="1016" max="1016" width="6.54296875" bestFit="1" customWidth="1"/>
    <col min="1017" max="1017" width="6.81640625" bestFit="1" customWidth="1"/>
    <col min="1018" max="1018" width="7.1796875" bestFit="1" customWidth="1"/>
    <col min="1019" max="1019" width="6.54296875" bestFit="1" customWidth="1"/>
    <col min="1020" max="1020" width="6.81640625" bestFit="1" customWidth="1"/>
    <col min="1021" max="1021" width="7.1796875" bestFit="1" customWidth="1"/>
    <col min="1022" max="1022" width="6.54296875" bestFit="1" customWidth="1"/>
    <col min="1023" max="1023" width="6.81640625" bestFit="1" customWidth="1"/>
    <col min="1024" max="1024" width="7.1796875" bestFit="1" customWidth="1"/>
    <col min="1025" max="1025" width="6.54296875" bestFit="1" customWidth="1"/>
    <col min="1026" max="1026" width="6.81640625" bestFit="1" customWidth="1"/>
    <col min="1027" max="1027" width="7.1796875" bestFit="1" customWidth="1"/>
    <col min="1028" max="1028" width="6.54296875" bestFit="1" customWidth="1"/>
    <col min="1029" max="1029" width="6.81640625" bestFit="1" customWidth="1"/>
    <col min="1030" max="1030" width="7.1796875" bestFit="1" customWidth="1"/>
    <col min="1031" max="1031" width="6.54296875" bestFit="1" customWidth="1"/>
    <col min="1032" max="1032" width="6.81640625" bestFit="1" customWidth="1"/>
    <col min="1033" max="1033" width="7.1796875" bestFit="1" customWidth="1"/>
    <col min="1034" max="1034" width="6.54296875" bestFit="1" customWidth="1"/>
    <col min="1035" max="1035" width="6.81640625" bestFit="1" customWidth="1"/>
    <col min="1036" max="1036" width="7.1796875" bestFit="1" customWidth="1"/>
    <col min="1037" max="1037" width="6.54296875" bestFit="1" customWidth="1"/>
    <col min="1038" max="1038" width="6.81640625" bestFit="1" customWidth="1"/>
    <col min="1039" max="1039" width="7.1796875" bestFit="1" customWidth="1"/>
    <col min="1040" max="1040" width="6.54296875" bestFit="1" customWidth="1"/>
    <col min="1041" max="1041" width="6.81640625" bestFit="1" customWidth="1"/>
    <col min="1042" max="1042" width="7.1796875" bestFit="1" customWidth="1"/>
    <col min="1043" max="1043" width="6.54296875" bestFit="1" customWidth="1"/>
    <col min="1044" max="1044" width="6.81640625" bestFit="1" customWidth="1"/>
    <col min="1045" max="1045" width="7.1796875" bestFit="1" customWidth="1"/>
    <col min="1046" max="1046" width="6.54296875" bestFit="1" customWidth="1"/>
    <col min="1047" max="1047" width="6.81640625" bestFit="1" customWidth="1"/>
    <col min="1048" max="1048" width="7.1796875" bestFit="1" customWidth="1"/>
    <col min="1049" max="1049" width="6.54296875" bestFit="1" customWidth="1"/>
    <col min="1050" max="1050" width="6.81640625" bestFit="1" customWidth="1"/>
    <col min="1051" max="1051" width="7.1796875" bestFit="1" customWidth="1"/>
    <col min="1052" max="1052" width="6.54296875" bestFit="1" customWidth="1"/>
    <col min="1053" max="1053" width="6.81640625" bestFit="1" customWidth="1"/>
    <col min="1054" max="1054" width="7.1796875" bestFit="1" customWidth="1"/>
    <col min="1055" max="1055" width="6.54296875" bestFit="1" customWidth="1"/>
    <col min="1056" max="1056" width="6.81640625" bestFit="1" customWidth="1"/>
    <col min="1057" max="1057" width="7.1796875" bestFit="1" customWidth="1"/>
    <col min="1058" max="1058" width="6.54296875" bestFit="1" customWidth="1"/>
    <col min="1059" max="1059" width="6.81640625" bestFit="1" customWidth="1"/>
    <col min="1060" max="1060" width="7.1796875" bestFit="1" customWidth="1"/>
    <col min="1061" max="1061" width="6.54296875" bestFit="1" customWidth="1"/>
    <col min="1062" max="1062" width="6.81640625" bestFit="1" customWidth="1"/>
    <col min="1063" max="1063" width="7.1796875" bestFit="1" customWidth="1"/>
    <col min="1064" max="1064" width="6.54296875" bestFit="1" customWidth="1"/>
    <col min="1065" max="1065" width="6.81640625" bestFit="1" customWidth="1"/>
    <col min="1066" max="1066" width="7.1796875" bestFit="1" customWidth="1"/>
    <col min="1067" max="1067" width="6.54296875" bestFit="1" customWidth="1"/>
    <col min="1068" max="1068" width="6.81640625" bestFit="1" customWidth="1"/>
    <col min="1069" max="1069" width="7.1796875" bestFit="1" customWidth="1"/>
    <col min="1070" max="1070" width="6.54296875" bestFit="1" customWidth="1"/>
    <col min="1071" max="1071" width="6.81640625" bestFit="1" customWidth="1"/>
    <col min="1072" max="1072" width="7.1796875" bestFit="1" customWidth="1"/>
    <col min="1073" max="1073" width="6.54296875" bestFit="1" customWidth="1"/>
    <col min="1074" max="1074" width="6.81640625" bestFit="1" customWidth="1"/>
    <col min="1075" max="1075" width="7.1796875" bestFit="1" customWidth="1"/>
    <col min="1076" max="1076" width="6.54296875" bestFit="1" customWidth="1"/>
    <col min="1077" max="1077" width="6.81640625" bestFit="1" customWidth="1"/>
    <col min="1078" max="1078" width="7.1796875" bestFit="1" customWidth="1"/>
    <col min="1079" max="1079" width="6.54296875" bestFit="1" customWidth="1"/>
    <col min="1080" max="1080" width="6.81640625" bestFit="1" customWidth="1"/>
    <col min="1081" max="1081" width="7.1796875" bestFit="1" customWidth="1"/>
    <col min="1082" max="1082" width="6.54296875" bestFit="1" customWidth="1"/>
    <col min="1083" max="1083" width="6.81640625" bestFit="1" customWidth="1"/>
    <col min="1084" max="1084" width="7.1796875" bestFit="1" customWidth="1"/>
    <col min="1085" max="1085" width="6.54296875" bestFit="1" customWidth="1"/>
    <col min="1086" max="1086" width="6.81640625" bestFit="1" customWidth="1"/>
    <col min="1087" max="1087" width="7.1796875" bestFit="1" customWidth="1"/>
    <col min="1088" max="1088" width="6.54296875" bestFit="1" customWidth="1"/>
    <col min="1089" max="1089" width="6.81640625" bestFit="1" customWidth="1"/>
    <col min="1090" max="1090" width="7.1796875" bestFit="1" customWidth="1"/>
    <col min="1091" max="1091" width="6.54296875" bestFit="1" customWidth="1"/>
    <col min="1092" max="1092" width="6.81640625" bestFit="1" customWidth="1"/>
    <col min="1093" max="1093" width="7.1796875" bestFit="1" customWidth="1"/>
  </cols>
  <sheetData>
    <row r="1" spans="1:10" ht="18.5" x14ac:dyDescent="0.35">
      <c r="A1" s="4" t="s">
        <v>1</v>
      </c>
      <c r="B1" s="4" t="s">
        <v>3</v>
      </c>
      <c r="C1" s="7" t="s">
        <v>0</v>
      </c>
      <c r="D1" s="10" t="s">
        <v>4</v>
      </c>
      <c r="E1" s="11" t="s">
        <v>5</v>
      </c>
      <c r="F1" s="11" t="s">
        <v>6</v>
      </c>
      <c r="H1" t="s">
        <v>4</v>
      </c>
      <c r="I1" t="s">
        <v>5</v>
      </c>
      <c r="J1" t="s">
        <v>36</v>
      </c>
    </row>
    <row r="2" spans="1:10" ht="18.5" x14ac:dyDescent="0.45">
      <c r="A2" s="5">
        <v>14624</v>
      </c>
      <c r="B2" s="5" t="s">
        <v>7</v>
      </c>
      <c r="C2" s="8">
        <v>44562</v>
      </c>
      <c r="D2" s="12">
        <v>45</v>
      </c>
      <c r="E2" s="13">
        <v>56.99</v>
      </c>
      <c r="F2" s="14">
        <f>D2*E2</f>
        <v>2564.5500000000002</v>
      </c>
      <c r="H2" s="28">
        <f>SUM(D2:D27)</f>
        <v>762</v>
      </c>
      <c r="I2" s="29">
        <f>SUM(E2:E27)</f>
        <v>5036.6299999999974</v>
      </c>
      <c r="J2" s="30">
        <f>SUM(F2:F27)</f>
        <v>105013.00000000001</v>
      </c>
    </row>
    <row r="3" spans="1:10" ht="18.5" x14ac:dyDescent="0.45">
      <c r="A3" s="5">
        <v>2714</v>
      </c>
      <c r="B3" s="15" t="s">
        <v>8</v>
      </c>
      <c r="C3" s="8">
        <v>44567</v>
      </c>
      <c r="D3" s="12">
        <v>23</v>
      </c>
      <c r="E3" s="16">
        <v>38.770000000000003</v>
      </c>
      <c r="F3" s="14">
        <f t="shared" ref="F3:F24" si="0">D3*E3</f>
        <v>891.71</v>
      </c>
    </row>
    <row r="4" spans="1:10" ht="18.5" x14ac:dyDescent="0.45">
      <c r="A4" s="5">
        <v>4550</v>
      </c>
      <c r="B4" s="15" t="s">
        <v>9</v>
      </c>
      <c r="C4" s="8">
        <v>44572</v>
      </c>
      <c r="D4" s="12">
        <v>12</v>
      </c>
      <c r="E4" s="17">
        <v>1200</v>
      </c>
      <c r="F4" s="14">
        <f t="shared" si="0"/>
        <v>14400</v>
      </c>
    </row>
    <row r="5" spans="1:10" ht="18.5" x14ac:dyDescent="0.45">
      <c r="A5" s="5">
        <v>7494</v>
      </c>
      <c r="B5" s="5" t="s">
        <v>10</v>
      </c>
      <c r="C5" s="8">
        <v>44577</v>
      </c>
      <c r="D5" s="12">
        <v>123</v>
      </c>
      <c r="E5" s="17">
        <v>189</v>
      </c>
      <c r="F5" s="14">
        <f t="shared" si="0"/>
        <v>23247</v>
      </c>
    </row>
    <row r="6" spans="1:10" ht="18.5" x14ac:dyDescent="0.45">
      <c r="A6" s="5">
        <v>4820</v>
      </c>
      <c r="B6" s="5" t="s">
        <v>11</v>
      </c>
      <c r="C6" s="8">
        <v>44582</v>
      </c>
      <c r="D6" s="12">
        <v>20</v>
      </c>
      <c r="E6" s="16">
        <v>37.99</v>
      </c>
      <c r="F6" s="14">
        <f>D6*E6</f>
        <v>759.80000000000007</v>
      </c>
    </row>
    <row r="7" spans="1:10" ht="18.5" x14ac:dyDescent="0.45">
      <c r="A7" s="5">
        <v>14264</v>
      </c>
      <c r="B7" s="5" t="s">
        <v>12</v>
      </c>
      <c r="C7" s="8">
        <v>44587</v>
      </c>
      <c r="D7" s="12">
        <v>23</v>
      </c>
      <c r="E7" s="16">
        <v>165.6</v>
      </c>
      <c r="F7" s="14">
        <f t="shared" si="0"/>
        <v>3808.7999999999997</v>
      </c>
    </row>
    <row r="8" spans="1:10" ht="18.5" x14ac:dyDescent="0.45">
      <c r="A8" s="5">
        <v>9988</v>
      </c>
      <c r="B8" s="5" t="s">
        <v>13</v>
      </c>
      <c r="C8" s="8">
        <v>44593</v>
      </c>
      <c r="D8" s="12">
        <v>31</v>
      </c>
      <c r="E8" s="16">
        <v>56.99</v>
      </c>
      <c r="F8" s="14">
        <f t="shared" si="0"/>
        <v>1766.69</v>
      </c>
    </row>
    <row r="9" spans="1:10" ht="18.5" x14ac:dyDescent="0.45">
      <c r="A9" s="5">
        <v>4226</v>
      </c>
      <c r="B9" s="5" t="s">
        <v>14</v>
      </c>
      <c r="C9" s="8">
        <v>44596</v>
      </c>
      <c r="D9" s="12">
        <v>45</v>
      </c>
      <c r="E9" s="17">
        <v>49</v>
      </c>
      <c r="F9" s="14">
        <f t="shared" si="0"/>
        <v>2205</v>
      </c>
    </row>
    <row r="10" spans="1:10" ht="18.5" x14ac:dyDescent="0.45">
      <c r="A10" s="5">
        <v>19160</v>
      </c>
      <c r="B10" s="5" t="s">
        <v>15</v>
      </c>
      <c r="C10" s="8">
        <v>44599</v>
      </c>
      <c r="D10" s="12">
        <v>2</v>
      </c>
      <c r="E10" s="16">
        <v>733.9</v>
      </c>
      <c r="F10" s="14">
        <f t="shared" si="0"/>
        <v>1467.8</v>
      </c>
    </row>
    <row r="11" spans="1:10" ht="18.5" x14ac:dyDescent="0.45">
      <c r="A11" s="5">
        <v>17854</v>
      </c>
      <c r="B11" s="5" t="s">
        <v>16</v>
      </c>
      <c r="C11" s="8">
        <v>44602</v>
      </c>
      <c r="D11" s="12">
        <v>4</v>
      </c>
      <c r="E11" s="16">
        <v>116.99</v>
      </c>
      <c r="F11" s="14">
        <f t="shared" si="0"/>
        <v>467.96</v>
      </c>
    </row>
    <row r="12" spans="1:10" ht="18.5" x14ac:dyDescent="0.45">
      <c r="A12" s="5">
        <v>7494</v>
      </c>
      <c r="B12" s="5" t="s">
        <v>10</v>
      </c>
      <c r="C12" s="8">
        <v>44604</v>
      </c>
      <c r="D12" s="12">
        <v>123</v>
      </c>
      <c r="E12" s="17">
        <v>189</v>
      </c>
      <c r="F12" s="14">
        <f t="shared" si="0"/>
        <v>23247</v>
      </c>
    </row>
    <row r="13" spans="1:10" ht="18.5" x14ac:dyDescent="0.45">
      <c r="A13" s="5">
        <v>12630</v>
      </c>
      <c r="B13" s="5" t="s">
        <v>17</v>
      </c>
      <c r="C13" s="8">
        <v>44605</v>
      </c>
      <c r="D13" s="12">
        <v>3</v>
      </c>
      <c r="E13" s="17">
        <v>999</v>
      </c>
      <c r="F13" s="14">
        <f t="shared" si="0"/>
        <v>2997</v>
      </c>
    </row>
    <row r="14" spans="1:10" ht="18.5" x14ac:dyDescent="0.45">
      <c r="A14" s="5">
        <v>17608</v>
      </c>
      <c r="B14" s="5" t="s">
        <v>18</v>
      </c>
      <c r="C14" s="8">
        <v>44608</v>
      </c>
      <c r="D14" s="12">
        <v>6</v>
      </c>
      <c r="E14" s="16">
        <v>34.9</v>
      </c>
      <c r="F14" s="14">
        <f t="shared" si="0"/>
        <v>209.39999999999998</v>
      </c>
    </row>
    <row r="15" spans="1:10" ht="18.5" x14ac:dyDescent="0.45">
      <c r="A15" s="5">
        <v>5740</v>
      </c>
      <c r="B15" s="5" t="s">
        <v>19</v>
      </c>
      <c r="C15" s="8">
        <v>44611</v>
      </c>
      <c r="D15" s="12">
        <v>34</v>
      </c>
      <c r="E15" s="16">
        <v>53.91</v>
      </c>
      <c r="F15" s="14">
        <f t="shared" si="0"/>
        <v>1832.9399999999998</v>
      </c>
    </row>
    <row r="16" spans="1:10" ht="18.5" x14ac:dyDescent="0.45">
      <c r="A16" s="5">
        <v>13700</v>
      </c>
      <c r="B16" s="5" t="s">
        <v>20</v>
      </c>
      <c r="C16" s="8">
        <v>44614</v>
      </c>
      <c r="D16" s="12">
        <v>12</v>
      </c>
      <c r="E16" s="17">
        <v>102</v>
      </c>
      <c r="F16" s="14">
        <f t="shared" si="0"/>
        <v>1224</v>
      </c>
    </row>
    <row r="17" spans="1:6" ht="18.5" x14ac:dyDescent="0.45">
      <c r="A17" s="5">
        <v>2714</v>
      </c>
      <c r="B17" s="5" t="s">
        <v>21</v>
      </c>
      <c r="C17" s="8">
        <v>44621</v>
      </c>
      <c r="D17" s="12">
        <v>29</v>
      </c>
      <c r="E17" s="16">
        <v>31.89</v>
      </c>
      <c r="F17" s="14">
        <f t="shared" si="0"/>
        <v>924.81000000000006</v>
      </c>
    </row>
    <row r="18" spans="1:6" ht="18.5" x14ac:dyDescent="0.45">
      <c r="A18" s="5">
        <v>3886</v>
      </c>
      <c r="B18" s="5" t="s">
        <v>22</v>
      </c>
      <c r="C18" s="8">
        <v>44625</v>
      </c>
      <c r="D18" s="12">
        <v>45</v>
      </c>
      <c r="E18" s="16">
        <v>98.9</v>
      </c>
      <c r="F18" s="14">
        <f t="shared" si="0"/>
        <v>4450.5</v>
      </c>
    </row>
    <row r="19" spans="1:6" ht="18.5" x14ac:dyDescent="0.45">
      <c r="A19" s="5">
        <v>5982</v>
      </c>
      <c r="B19" s="5" t="s">
        <v>23</v>
      </c>
      <c r="C19" s="8">
        <v>44629</v>
      </c>
      <c r="D19" s="12">
        <v>9</v>
      </c>
      <c r="E19" s="17">
        <v>50</v>
      </c>
      <c r="F19" s="14">
        <f t="shared" si="0"/>
        <v>450</v>
      </c>
    </row>
    <row r="20" spans="1:6" ht="18.5" x14ac:dyDescent="0.45">
      <c r="A20" s="5">
        <v>15632</v>
      </c>
      <c r="B20" s="5" t="s">
        <v>24</v>
      </c>
      <c r="C20" s="8">
        <v>44633</v>
      </c>
      <c r="D20" s="12">
        <v>18</v>
      </c>
      <c r="E20" s="16">
        <v>99.99</v>
      </c>
      <c r="F20" s="14">
        <f t="shared" si="0"/>
        <v>1799.82</v>
      </c>
    </row>
    <row r="21" spans="1:6" ht="18.5" x14ac:dyDescent="0.45">
      <c r="A21" s="5">
        <v>5740</v>
      </c>
      <c r="B21" s="5" t="s">
        <v>19</v>
      </c>
      <c r="C21" s="8">
        <v>44634</v>
      </c>
      <c r="D21" s="12">
        <v>12</v>
      </c>
      <c r="E21" s="16">
        <v>53.91</v>
      </c>
      <c r="F21" s="14">
        <f t="shared" si="0"/>
        <v>646.91999999999996</v>
      </c>
    </row>
    <row r="22" spans="1:6" ht="18.5" x14ac:dyDescent="0.45">
      <c r="A22" s="5">
        <v>11340</v>
      </c>
      <c r="B22" s="5" t="s">
        <v>25</v>
      </c>
      <c r="C22" s="8">
        <v>44637</v>
      </c>
      <c r="D22" s="12">
        <v>14</v>
      </c>
      <c r="E22" s="16">
        <v>149.9</v>
      </c>
      <c r="F22" s="14">
        <f t="shared" si="0"/>
        <v>2098.6</v>
      </c>
    </row>
    <row r="23" spans="1:6" ht="18.5" x14ac:dyDescent="0.45">
      <c r="A23" s="5">
        <v>2290</v>
      </c>
      <c r="B23" s="5" t="s">
        <v>26</v>
      </c>
      <c r="C23" s="8">
        <v>44641</v>
      </c>
      <c r="D23" s="12">
        <v>41</v>
      </c>
      <c r="E23" s="16">
        <v>53.99</v>
      </c>
      <c r="F23" s="14">
        <f t="shared" si="0"/>
        <v>2213.59</v>
      </c>
    </row>
    <row r="24" spans="1:6" ht="18.5" x14ac:dyDescent="0.45">
      <c r="A24" s="5">
        <v>7530</v>
      </c>
      <c r="B24" s="5" t="s">
        <v>27</v>
      </c>
      <c r="C24" s="8">
        <v>44645</v>
      </c>
      <c r="D24" s="12">
        <v>34</v>
      </c>
      <c r="E24" s="17">
        <v>175</v>
      </c>
      <c r="F24" s="14">
        <f t="shared" si="0"/>
        <v>5950</v>
      </c>
    </row>
    <row r="25" spans="1:6" ht="18.5" x14ac:dyDescent="0.45">
      <c r="A25" s="5">
        <v>2345</v>
      </c>
      <c r="B25" s="5" t="s">
        <v>28</v>
      </c>
      <c r="C25" s="8">
        <v>44649</v>
      </c>
      <c r="D25" s="12">
        <v>21</v>
      </c>
      <c r="E25" s="17">
        <v>143.12</v>
      </c>
      <c r="F25" s="14">
        <f>D25*E25</f>
        <v>3005.52</v>
      </c>
    </row>
    <row r="26" spans="1:6" ht="18.5" x14ac:dyDescent="0.45">
      <c r="A26" s="5">
        <v>3886</v>
      </c>
      <c r="B26" s="5" t="s">
        <v>22</v>
      </c>
      <c r="C26" s="8">
        <v>44656</v>
      </c>
      <c r="D26" s="12">
        <v>12</v>
      </c>
      <c r="E26" s="16">
        <v>98.9</v>
      </c>
      <c r="F26" s="14">
        <f t="shared" ref="F26" si="1">D26*E26</f>
        <v>1186.8000000000002</v>
      </c>
    </row>
    <row r="27" spans="1:6" ht="18.5" x14ac:dyDescent="0.45">
      <c r="A27" s="5">
        <v>14624</v>
      </c>
      <c r="B27" s="5" t="s">
        <v>7</v>
      </c>
      <c r="C27" s="8">
        <v>44674</v>
      </c>
      <c r="D27" s="12">
        <v>21</v>
      </c>
      <c r="E27" s="13">
        <v>56.99</v>
      </c>
      <c r="F27" s="14">
        <f>D27*E27</f>
        <v>1196.79</v>
      </c>
    </row>
    <row r="28" spans="1:6" x14ac:dyDescent="0.35">
      <c r="D28" s="18">
        <f>SUM(D2:D27)</f>
        <v>762</v>
      </c>
      <c r="E28" s="19">
        <f t="shared" ref="E28:F28" si="2">SUM(E2:E27)</f>
        <v>5036.6299999999974</v>
      </c>
      <c r="F28" s="19">
        <f t="shared" si="2"/>
        <v>105013.00000000001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AB76-30E3-4933-8594-7F6DF6F05476}">
  <dimension ref="A1:F50"/>
  <sheetViews>
    <sheetView workbookViewId="0">
      <selection activeCell="E25" sqref="E25"/>
    </sheetView>
  </sheetViews>
  <sheetFormatPr defaultRowHeight="14.5" outlineLevelRow="2" x14ac:dyDescent="0.35"/>
  <cols>
    <col min="1" max="1" width="17.6328125" bestFit="1" customWidth="1"/>
    <col min="2" max="2" width="41.26953125" bestFit="1" customWidth="1"/>
    <col min="3" max="3" width="11.81640625" bestFit="1" customWidth="1"/>
    <col min="4" max="4" width="11.54296875" customWidth="1"/>
    <col min="5" max="5" width="19.453125" customWidth="1"/>
    <col min="6" max="6" width="16.54296875" bestFit="1" customWidth="1"/>
  </cols>
  <sheetData>
    <row r="1" spans="1:6" ht="18.5" x14ac:dyDescent="0.35">
      <c r="A1" s="4" t="s">
        <v>1</v>
      </c>
      <c r="B1" s="4" t="s">
        <v>3</v>
      </c>
      <c r="C1" s="7" t="s">
        <v>0</v>
      </c>
      <c r="D1" s="10" t="s">
        <v>4</v>
      </c>
      <c r="E1" s="11" t="s">
        <v>5</v>
      </c>
      <c r="F1" s="11" t="s">
        <v>6</v>
      </c>
    </row>
    <row r="2" spans="1:6" ht="18.5" hidden="1" outlineLevel="2" x14ac:dyDescent="0.45">
      <c r="A2" s="5">
        <v>11340</v>
      </c>
      <c r="B2" s="5" t="s">
        <v>25</v>
      </c>
      <c r="C2" s="8">
        <v>44637</v>
      </c>
      <c r="D2" s="12">
        <v>14</v>
      </c>
      <c r="E2" s="16">
        <v>149.9</v>
      </c>
      <c r="F2" s="14">
        <f>D2*E2</f>
        <v>2098.6</v>
      </c>
    </row>
    <row r="3" spans="1:6" ht="18.5" outlineLevel="1" collapsed="1" x14ac:dyDescent="0.45">
      <c r="A3" s="5"/>
      <c r="B3" s="31" t="s">
        <v>37</v>
      </c>
      <c r="C3" s="8"/>
      <c r="D3" s="12">
        <f>SUBTOTAL(9,D2:D2)</f>
        <v>14</v>
      </c>
      <c r="E3" s="16">
        <f>SUBTOTAL(9,E2:E2)</f>
        <v>149.9</v>
      </c>
      <c r="F3" s="14">
        <f>SUBTOTAL(9,F2:F2)</f>
        <v>2098.6</v>
      </c>
    </row>
    <row r="4" spans="1:6" ht="18.5" hidden="1" outlineLevel="2" x14ac:dyDescent="0.45">
      <c r="A4" s="5">
        <v>5982</v>
      </c>
      <c r="B4" s="5" t="s">
        <v>23</v>
      </c>
      <c r="C4" s="8">
        <v>44629</v>
      </c>
      <c r="D4" s="12">
        <v>9</v>
      </c>
      <c r="E4" s="17">
        <v>50</v>
      </c>
      <c r="F4" s="14">
        <f>D4*E4</f>
        <v>450</v>
      </c>
    </row>
    <row r="5" spans="1:6" ht="18.5" outlineLevel="1" collapsed="1" x14ac:dyDescent="0.45">
      <c r="A5" s="5"/>
      <c r="B5" s="31" t="s">
        <v>38</v>
      </c>
      <c r="C5" s="8"/>
      <c r="D5" s="12">
        <f>SUBTOTAL(9,D4:D4)</f>
        <v>9</v>
      </c>
      <c r="E5" s="17">
        <f>SUBTOTAL(9,E4:E4)</f>
        <v>50</v>
      </c>
      <c r="F5" s="14">
        <f>SUBTOTAL(9,F4:F4)</f>
        <v>450</v>
      </c>
    </row>
    <row r="6" spans="1:6" ht="18.5" hidden="1" outlineLevel="2" x14ac:dyDescent="0.45">
      <c r="A6" s="5">
        <v>2345</v>
      </c>
      <c r="B6" s="5" t="s">
        <v>28</v>
      </c>
      <c r="C6" s="8">
        <v>44649</v>
      </c>
      <c r="D6" s="12">
        <v>21</v>
      </c>
      <c r="E6" s="17">
        <v>143.12</v>
      </c>
      <c r="F6" s="14">
        <f>D6*E6</f>
        <v>3005.52</v>
      </c>
    </row>
    <row r="7" spans="1:6" ht="18.5" outlineLevel="1" collapsed="1" x14ac:dyDescent="0.45">
      <c r="A7" s="5"/>
      <c r="B7" s="31" t="s">
        <v>39</v>
      </c>
      <c r="C7" s="8"/>
      <c r="D7" s="12">
        <f>SUBTOTAL(9,D6:D6)</f>
        <v>21</v>
      </c>
      <c r="E7" s="17">
        <f>SUBTOTAL(9,E6:E6)</f>
        <v>143.12</v>
      </c>
      <c r="F7" s="14">
        <f>SUBTOTAL(9,F6:F6)</f>
        <v>3005.52</v>
      </c>
    </row>
    <row r="8" spans="1:6" ht="18.5" hidden="1" outlineLevel="2" x14ac:dyDescent="0.45">
      <c r="A8" s="5">
        <v>3886</v>
      </c>
      <c r="B8" s="5" t="s">
        <v>22</v>
      </c>
      <c r="C8" s="8">
        <v>44625</v>
      </c>
      <c r="D8" s="12">
        <v>45</v>
      </c>
      <c r="E8" s="16">
        <v>98.9</v>
      </c>
      <c r="F8" s="14">
        <f>D8*E8</f>
        <v>4450.5</v>
      </c>
    </row>
    <row r="9" spans="1:6" ht="18.5" hidden="1" outlineLevel="2" x14ac:dyDescent="0.45">
      <c r="A9" s="5">
        <v>3886</v>
      </c>
      <c r="B9" s="5" t="s">
        <v>22</v>
      </c>
      <c r="C9" s="8">
        <v>44656</v>
      </c>
      <c r="D9" s="12">
        <v>12</v>
      </c>
      <c r="E9" s="16">
        <v>98.9</v>
      </c>
      <c r="F9" s="14">
        <f>D9*E9</f>
        <v>1186.8000000000002</v>
      </c>
    </row>
    <row r="10" spans="1:6" ht="18.5" outlineLevel="1" collapsed="1" x14ac:dyDescent="0.45">
      <c r="A10" s="5"/>
      <c r="B10" s="31" t="s">
        <v>40</v>
      </c>
      <c r="C10" s="8"/>
      <c r="D10" s="12">
        <f>SUBTOTAL(9,D8:D9)</f>
        <v>57</v>
      </c>
      <c r="E10" s="16">
        <f>SUBTOTAL(9,E8:E9)</f>
        <v>197.8</v>
      </c>
      <c r="F10" s="14">
        <f>SUBTOTAL(9,F8:F9)</f>
        <v>5637.3</v>
      </c>
    </row>
    <row r="11" spans="1:6" ht="18.5" hidden="1" outlineLevel="2" x14ac:dyDescent="0.45">
      <c r="A11" s="5">
        <v>2290</v>
      </c>
      <c r="B11" s="5" t="s">
        <v>26</v>
      </c>
      <c r="C11" s="8">
        <v>44641</v>
      </c>
      <c r="D11" s="12">
        <v>41</v>
      </c>
      <c r="E11" s="16">
        <v>53.99</v>
      </c>
      <c r="F11" s="14">
        <f>D11*E11</f>
        <v>2213.59</v>
      </c>
    </row>
    <row r="12" spans="1:6" ht="18.5" outlineLevel="1" collapsed="1" x14ac:dyDescent="0.45">
      <c r="A12" s="5"/>
      <c r="B12" s="31" t="s">
        <v>41</v>
      </c>
      <c r="C12" s="8"/>
      <c r="D12" s="12">
        <f>SUBTOTAL(9,D11:D11)</f>
        <v>41</v>
      </c>
      <c r="E12" s="16">
        <f>SUBTOTAL(9,E11:E11)</f>
        <v>53.99</v>
      </c>
      <c r="F12" s="14">
        <f>SUBTOTAL(9,F11:F11)</f>
        <v>2213.59</v>
      </c>
    </row>
    <row r="13" spans="1:6" ht="18.5" hidden="1" outlineLevel="2" x14ac:dyDescent="0.45">
      <c r="A13" s="5">
        <v>5740</v>
      </c>
      <c r="B13" s="5" t="s">
        <v>19</v>
      </c>
      <c r="C13" s="8">
        <v>44611</v>
      </c>
      <c r="D13" s="12">
        <v>34</v>
      </c>
      <c r="E13" s="16">
        <v>53.91</v>
      </c>
      <c r="F13" s="14">
        <f>D13*E13</f>
        <v>1832.9399999999998</v>
      </c>
    </row>
    <row r="14" spans="1:6" ht="18.5" hidden="1" outlineLevel="2" x14ac:dyDescent="0.45">
      <c r="A14" s="5">
        <v>5740</v>
      </c>
      <c r="B14" s="5" t="s">
        <v>19</v>
      </c>
      <c r="C14" s="8">
        <v>44634</v>
      </c>
      <c r="D14" s="12">
        <v>12</v>
      </c>
      <c r="E14" s="16">
        <v>53.91</v>
      </c>
      <c r="F14" s="14">
        <f>D14*E14</f>
        <v>646.91999999999996</v>
      </c>
    </row>
    <row r="15" spans="1:6" ht="18.5" outlineLevel="1" collapsed="1" x14ac:dyDescent="0.45">
      <c r="A15" s="5"/>
      <c r="B15" s="31" t="s">
        <v>42</v>
      </c>
      <c r="C15" s="8"/>
      <c r="D15" s="12">
        <f>SUBTOTAL(9,D13:D14)</f>
        <v>46</v>
      </c>
      <c r="E15" s="16">
        <f>SUBTOTAL(9,E13:E14)</f>
        <v>107.82</v>
      </c>
      <c r="F15" s="14">
        <f>SUBTOTAL(9,F13:F14)</f>
        <v>2479.8599999999997</v>
      </c>
    </row>
    <row r="16" spans="1:6" ht="18.5" hidden="1" outlineLevel="2" x14ac:dyDescent="0.45">
      <c r="A16" s="5">
        <v>2714</v>
      </c>
      <c r="B16" s="5" t="s">
        <v>21</v>
      </c>
      <c r="C16" s="8">
        <v>44621</v>
      </c>
      <c r="D16" s="12">
        <v>29</v>
      </c>
      <c r="E16" s="16">
        <v>31.89</v>
      </c>
      <c r="F16" s="14">
        <f>D16*E16</f>
        <v>924.81000000000006</v>
      </c>
    </row>
    <row r="17" spans="1:6" ht="18.5" outlineLevel="1" collapsed="1" x14ac:dyDescent="0.45">
      <c r="A17" s="5"/>
      <c r="B17" s="31" t="s">
        <v>43</v>
      </c>
      <c r="C17" s="8"/>
      <c r="D17" s="12">
        <f>SUBTOTAL(9,D16:D16)</f>
        <v>29</v>
      </c>
      <c r="E17" s="16">
        <f>SUBTOTAL(9,E16:E16)</f>
        <v>31.89</v>
      </c>
      <c r="F17" s="14">
        <f>SUBTOTAL(9,F16:F16)</f>
        <v>924.81000000000006</v>
      </c>
    </row>
    <row r="18" spans="1:6" ht="18.5" hidden="1" outlineLevel="2" x14ac:dyDescent="0.45">
      <c r="A18" s="5">
        <v>19160</v>
      </c>
      <c r="B18" s="5" t="s">
        <v>15</v>
      </c>
      <c r="C18" s="8">
        <v>44599</v>
      </c>
      <c r="D18" s="12">
        <v>2</v>
      </c>
      <c r="E18" s="16">
        <v>733.9</v>
      </c>
      <c r="F18" s="14">
        <f>D18*E18</f>
        <v>1467.8</v>
      </c>
    </row>
    <row r="19" spans="1:6" ht="18.5" outlineLevel="1" collapsed="1" x14ac:dyDescent="0.45">
      <c r="A19" s="5"/>
      <c r="B19" s="31" t="s">
        <v>44</v>
      </c>
      <c r="C19" s="8"/>
      <c r="D19" s="12">
        <f>SUBTOTAL(9,D18:D18)</f>
        <v>2</v>
      </c>
      <c r="E19" s="16">
        <f>SUBTOTAL(9,E18:E18)</f>
        <v>733.9</v>
      </c>
      <c r="F19" s="14">
        <f>SUBTOTAL(9,F18:F18)</f>
        <v>1467.8</v>
      </c>
    </row>
    <row r="20" spans="1:6" ht="18.5" hidden="1" outlineLevel="2" x14ac:dyDescent="0.45">
      <c r="A20" s="5">
        <v>15632</v>
      </c>
      <c r="B20" s="5" t="s">
        <v>24</v>
      </c>
      <c r="C20" s="8">
        <v>44633</v>
      </c>
      <c r="D20" s="12">
        <v>18</v>
      </c>
      <c r="E20" s="16">
        <v>99.99</v>
      </c>
      <c r="F20" s="14">
        <f>D20*E20</f>
        <v>1799.82</v>
      </c>
    </row>
    <row r="21" spans="1:6" ht="18.5" outlineLevel="1" collapsed="1" x14ac:dyDescent="0.45">
      <c r="A21" s="5"/>
      <c r="B21" s="31" t="s">
        <v>45</v>
      </c>
      <c r="C21" s="8"/>
      <c r="D21" s="12">
        <f>SUBTOTAL(9,D20:D20)</f>
        <v>18</v>
      </c>
      <c r="E21" s="16">
        <f>SUBTOTAL(9,E20:E20)</f>
        <v>99.99</v>
      </c>
      <c r="F21" s="14">
        <f>SUBTOTAL(9,F20:F20)</f>
        <v>1799.82</v>
      </c>
    </row>
    <row r="22" spans="1:6" ht="18.5" hidden="1" outlineLevel="2" x14ac:dyDescent="0.45">
      <c r="A22" s="5">
        <v>13700</v>
      </c>
      <c r="B22" s="5" t="s">
        <v>20</v>
      </c>
      <c r="C22" s="8">
        <v>44614</v>
      </c>
      <c r="D22" s="12">
        <v>12</v>
      </c>
      <c r="E22" s="17">
        <v>102</v>
      </c>
      <c r="F22" s="14">
        <f>D22*E22</f>
        <v>1224</v>
      </c>
    </row>
    <row r="23" spans="1:6" ht="18.5" outlineLevel="1" collapsed="1" x14ac:dyDescent="0.45">
      <c r="A23" s="5"/>
      <c r="B23" s="31" t="s">
        <v>46</v>
      </c>
      <c r="C23" s="8"/>
      <c r="D23" s="12">
        <f>SUBTOTAL(9,D22:D22)</f>
        <v>12</v>
      </c>
      <c r="E23" s="17">
        <f>SUBTOTAL(9,E22:E22)</f>
        <v>102</v>
      </c>
      <c r="F23" s="14">
        <f>SUBTOTAL(9,F22:F22)</f>
        <v>1224</v>
      </c>
    </row>
    <row r="24" spans="1:6" ht="18.5" hidden="1" outlineLevel="2" x14ac:dyDescent="0.45">
      <c r="A24" s="5">
        <v>14264</v>
      </c>
      <c r="B24" s="5" t="s">
        <v>12</v>
      </c>
      <c r="C24" s="8">
        <v>44587</v>
      </c>
      <c r="D24" s="12">
        <v>23</v>
      </c>
      <c r="E24" s="16">
        <v>165.6</v>
      </c>
      <c r="F24" s="14">
        <f>D24*E24</f>
        <v>3808.7999999999997</v>
      </c>
    </row>
    <row r="25" spans="1:6" ht="18.5" outlineLevel="1" collapsed="1" x14ac:dyDescent="0.45">
      <c r="A25" s="5"/>
      <c r="B25" s="31" t="s">
        <v>47</v>
      </c>
      <c r="C25" s="8"/>
      <c r="D25" s="12">
        <f>SUBTOTAL(9,D24:D24)</f>
        <v>23</v>
      </c>
      <c r="E25" s="16">
        <f>SUBTOTAL(9,E24:E24)</f>
        <v>165.6</v>
      </c>
      <c r="F25" s="14">
        <f>SUBTOTAL(9,F24:F24)</f>
        <v>3808.7999999999997</v>
      </c>
    </row>
    <row r="26" spans="1:6" ht="18.5" hidden="1" outlineLevel="2" x14ac:dyDescent="0.45">
      <c r="A26" s="5">
        <v>2714</v>
      </c>
      <c r="B26" s="15" t="s">
        <v>8</v>
      </c>
      <c r="C26" s="8">
        <v>44567</v>
      </c>
      <c r="D26" s="12">
        <v>23</v>
      </c>
      <c r="E26" s="16">
        <v>38.770000000000003</v>
      </c>
      <c r="F26" s="14">
        <f>D26*E26</f>
        <v>891.71</v>
      </c>
    </row>
    <row r="27" spans="1:6" ht="18.5" outlineLevel="1" collapsed="1" x14ac:dyDescent="0.45">
      <c r="A27" s="5"/>
      <c r="B27" s="32" t="s">
        <v>48</v>
      </c>
      <c r="C27" s="8"/>
      <c r="D27" s="12">
        <f>SUBTOTAL(9,D26:D26)</f>
        <v>23</v>
      </c>
      <c r="E27" s="16">
        <f>SUBTOTAL(9,E26:E26)</f>
        <v>38.770000000000003</v>
      </c>
      <c r="F27" s="14">
        <f>SUBTOTAL(9,F26:F26)</f>
        <v>891.71</v>
      </c>
    </row>
    <row r="28" spans="1:6" ht="18.5" hidden="1" outlineLevel="2" x14ac:dyDescent="0.45">
      <c r="A28" s="5">
        <v>4820</v>
      </c>
      <c r="B28" s="5" t="s">
        <v>11</v>
      </c>
      <c r="C28" s="8">
        <v>44582</v>
      </c>
      <c r="D28" s="12">
        <v>20</v>
      </c>
      <c r="E28" s="16">
        <v>37.99</v>
      </c>
      <c r="F28" s="14">
        <f>D28*E28</f>
        <v>759.80000000000007</v>
      </c>
    </row>
    <row r="29" spans="1:6" ht="18.5" outlineLevel="1" collapsed="1" x14ac:dyDescent="0.45">
      <c r="A29" s="5"/>
      <c r="B29" s="31" t="s">
        <v>49</v>
      </c>
      <c r="C29" s="8"/>
      <c r="D29" s="12">
        <f>SUBTOTAL(9,D28:D28)</f>
        <v>20</v>
      </c>
      <c r="E29" s="16">
        <f>SUBTOTAL(9,E28:E28)</f>
        <v>37.99</v>
      </c>
      <c r="F29" s="14">
        <f>SUBTOTAL(9,F28:F28)</f>
        <v>759.80000000000007</v>
      </c>
    </row>
    <row r="30" spans="1:6" ht="18.5" hidden="1" outlineLevel="2" x14ac:dyDescent="0.45">
      <c r="A30" s="5">
        <v>4226</v>
      </c>
      <c r="B30" s="5" t="s">
        <v>14</v>
      </c>
      <c r="C30" s="8">
        <v>44596</v>
      </c>
      <c r="D30" s="12">
        <v>45</v>
      </c>
      <c r="E30" s="17">
        <v>49</v>
      </c>
      <c r="F30" s="14">
        <f>D30*E30</f>
        <v>2205</v>
      </c>
    </row>
    <row r="31" spans="1:6" ht="18.5" outlineLevel="1" collapsed="1" x14ac:dyDescent="0.45">
      <c r="A31" s="5"/>
      <c r="B31" s="31" t="s">
        <v>50</v>
      </c>
      <c r="C31" s="8"/>
      <c r="D31" s="12">
        <f>SUBTOTAL(9,D30:D30)</f>
        <v>45</v>
      </c>
      <c r="E31" s="17">
        <f>SUBTOTAL(9,E30:E30)</f>
        <v>49</v>
      </c>
      <c r="F31" s="14">
        <f>SUBTOTAL(9,F30:F30)</f>
        <v>2205</v>
      </c>
    </row>
    <row r="32" spans="1:6" ht="18.5" hidden="1" outlineLevel="2" x14ac:dyDescent="0.45">
      <c r="A32" s="5">
        <v>12630</v>
      </c>
      <c r="B32" s="5" t="s">
        <v>17</v>
      </c>
      <c r="C32" s="8">
        <v>44605</v>
      </c>
      <c r="D32" s="12">
        <v>3</v>
      </c>
      <c r="E32" s="17">
        <v>999</v>
      </c>
      <c r="F32" s="14">
        <f>D32*E32</f>
        <v>2997</v>
      </c>
    </row>
    <row r="33" spans="1:6" ht="18.5" outlineLevel="1" collapsed="1" x14ac:dyDescent="0.45">
      <c r="A33" s="5"/>
      <c r="B33" s="31" t="s">
        <v>51</v>
      </c>
      <c r="C33" s="8"/>
      <c r="D33" s="12">
        <f>SUBTOTAL(9,D32:D32)</f>
        <v>3</v>
      </c>
      <c r="E33" s="17">
        <f>SUBTOTAL(9,E32:E32)</f>
        <v>999</v>
      </c>
      <c r="F33" s="14">
        <f>SUBTOTAL(9,F32:F32)</f>
        <v>2997</v>
      </c>
    </row>
    <row r="34" spans="1:6" ht="18.5" hidden="1" outlineLevel="2" x14ac:dyDescent="0.45">
      <c r="A34" s="5">
        <v>17854</v>
      </c>
      <c r="B34" s="5" t="s">
        <v>16</v>
      </c>
      <c r="C34" s="8">
        <v>44602</v>
      </c>
      <c r="D34" s="12">
        <v>4</v>
      </c>
      <c r="E34" s="16">
        <v>116.99</v>
      </c>
      <c r="F34" s="14">
        <f>D34*E34</f>
        <v>467.96</v>
      </c>
    </row>
    <row r="35" spans="1:6" ht="18.5" outlineLevel="1" collapsed="1" x14ac:dyDescent="0.45">
      <c r="A35" s="5"/>
      <c r="B35" s="31" t="s">
        <v>52</v>
      </c>
      <c r="C35" s="8"/>
      <c r="D35" s="12">
        <f>SUBTOTAL(9,D34:D34)</f>
        <v>4</v>
      </c>
      <c r="E35" s="16">
        <f>SUBTOTAL(9,E34:E34)</f>
        <v>116.99</v>
      </c>
      <c r="F35" s="14">
        <f>SUBTOTAL(9,F34:F34)</f>
        <v>467.96</v>
      </c>
    </row>
    <row r="36" spans="1:6" ht="18.5" hidden="1" outlineLevel="2" x14ac:dyDescent="0.45">
      <c r="A36" s="5">
        <v>14624</v>
      </c>
      <c r="B36" s="5" t="s">
        <v>7</v>
      </c>
      <c r="C36" s="8">
        <v>44562</v>
      </c>
      <c r="D36" s="12">
        <v>45</v>
      </c>
      <c r="E36" s="13">
        <v>56.99</v>
      </c>
      <c r="F36" s="14">
        <f>D36*E36</f>
        <v>2564.5500000000002</v>
      </c>
    </row>
    <row r="37" spans="1:6" ht="18.5" hidden="1" outlineLevel="2" x14ac:dyDescent="0.45">
      <c r="A37" s="5">
        <v>14624</v>
      </c>
      <c r="B37" s="5" t="s">
        <v>7</v>
      </c>
      <c r="C37" s="8">
        <v>44674</v>
      </c>
      <c r="D37" s="12">
        <v>21</v>
      </c>
      <c r="E37" s="13">
        <v>56.99</v>
      </c>
      <c r="F37" s="14">
        <f>D37*E37</f>
        <v>1196.79</v>
      </c>
    </row>
    <row r="38" spans="1:6" ht="18.5" outlineLevel="1" collapsed="1" x14ac:dyDescent="0.45">
      <c r="A38" s="5"/>
      <c r="B38" s="31" t="s">
        <v>53</v>
      </c>
      <c r="C38" s="8"/>
      <c r="D38" s="12">
        <f>SUBTOTAL(9,D36:D37)</f>
        <v>66</v>
      </c>
      <c r="E38" s="13">
        <f>SUBTOTAL(9,E36:E37)</f>
        <v>113.98</v>
      </c>
      <c r="F38" s="14">
        <f>SUBTOTAL(9,F36:F37)</f>
        <v>3761.34</v>
      </c>
    </row>
    <row r="39" spans="1:6" ht="18.5" hidden="1" outlineLevel="2" x14ac:dyDescent="0.45">
      <c r="A39" s="5">
        <v>9988</v>
      </c>
      <c r="B39" s="5" t="s">
        <v>13</v>
      </c>
      <c r="C39" s="8">
        <v>44593</v>
      </c>
      <c r="D39" s="12">
        <v>31</v>
      </c>
      <c r="E39" s="16">
        <v>56.99</v>
      </c>
      <c r="F39" s="14">
        <f>D39*E39</f>
        <v>1766.69</v>
      </c>
    </row>
    <row r="40" spans="1:6" ht="18.5" outlineLevel="1" collapsed="1" x14ac:dyDescent="0.45">
      <c r="A40" s="5"/>
      <c r="B40" s="31" t="s">
        <v>54</v>
      </c>
      <c r="C40" s="8"/>
      <c r="D40" s="12">
        <f>SUBTOTAL(9,D39:D39)</f>
        <v>31</v>
      </c>
      <c r="E40" s="16">
        <f>SUBTOTAL(9,E39:E39)</f>
        <v>56.99</v>
      </c>
      <c r="F40" s="14">
        <f>SUBTOTAL(9,F39:F39)</f>
        <v>1766.69</v>
      </c>
    </row>
    <row r="41" spans="1:6" ht="18.5" hidden="1" outlineLevel="2" x14ac:dyDescent="0.45">
      <c r="A41" s="5">
        <v>17608</v>
      </c>
      <c r="B41" s="5" t="s">
        <v>18</v>
      </c>
      <c r="C41" s="8">
        <v>44608</v>
      </c>
      <c r="D41" s="12">
        <v>6</v>
      </c>
      <c r="E41" s="16">
        <v>34.9</v>
      </c>
      <c r="F41" s="14">
        <f>D41*E41</f>
        <v>209.39999999999998</v>
      </c>
    </row>
    <row r="42" spans="1:6" ht="18.5" outlineLevel="1" collapsed="1" x14ac:dyDescent="0.45">
      <c r="A42" s="5"/>
      <c r="B42" s="31" t="s">
        <v>55</v>
      </c>
      <c r="C42" s="8"/>
      <c r="D42" s="12">
        <f>SUBTOTAL(9,D41:D41)</f>
        <v>6</v>
      </c>
      <c r="E42" s="16">
        <f>SUBTOTAL(9,E41:E41)</f>
        <v>34.9</v>
      </c>
      <c r="F42" s="14">
        <f>SUBTOTAL(9,F41:F41)</f>
        <v>209.39999999999998</v>
      </c>
    </row>
    <row r="43" spans="1:6" ht="18.5" hidden="1" outlineLevel="2" x14ac:dyDescent="0.45">
      <c r="A43" s="5">
        <v>7494</v>
      </c>
      <c r="B43" s="5" t="s">
        <v>10</v>
      </c>
      <c r="C43" s="8">
        <v>44577</v>
      </c>
      <c r="D43" s="12">
        <v>123</v>
      </c>
      <c r="E43" s="17">
        <v>189</v>
      </c>
      <c r="F43" s="14">
        <f>D43*E43</f>
        <v>23247</v>
      </c>
    </row>
    <row r="44" spans="1:6" ht="18.5" hidden="1" outlineLevel="2" x14ac:dyDescent="0.45">
      <c r="A44" s="5">
        <v>7494</v>
      </c>
      <c r="B44" s="5" t="s">
        <v>10</v>
      </c>
      <c r="C44" s="8">
        <v>44604</v>
      </c>
      <c r="D44" s="12">
        <v>123</v>
      </c>
      <c r="E44" s="17">
        <v>189</v>
      </c>
      <c r="F44" s="14">
        <f>D44*E44</f>
        <v>23247</v>
      </c>
    </row>
    <row r="45" spans="1:6" ht="18.5" outlineLevel="1" collapsed="1" x14ac:dyDescent="0.45">
      <c r="A45" s="5"/>
      <c r="B45" s="31" t="s">
        <v>56</v>
      </c>
      <c r="C45" s="8"/>
      <c r="D45" s="12">
        <f>SUBTOTAL(9,D43:D44)</f>
        <v>246</v>
      </c>
      <c r="E45" s="17">
        <f>SUBTOTAL(9,E43:E44)</f>
        <v>378</v>
      </c>
      <c r="F45" s="14">
        <f>SUBTOTAL(9,F43:F44)</f>
        <v>46494</v>
      </c>
    </row>
    <row r="46" spans="1:6" ht="18.5" hidden="1" outlineLevel="2" x14ac:dyDescent="0.45">
      <c r="A46" s="5">
        <v>7530</v>
      </c>
      <c r="B46" s="5" t="s">
        <v>27</v>
      </c>
      <c r="C46" s="8">
        <v>44645</v>
      </c>
      <c r="D46" s="12">
        <v>34</v>
      </c>
      <c r="E46" s="17">
        <v>175</v>
      </c>
      <c r="F46" s="14">
        <f>D46*E46</f>
        <v>5950</v>
      </c>
    </row>
    <row r="47" spans="1:6" ht="18.5" outlineLevel="1" collapsed="1" x14ac:dyDescent="0.45">
      <c r="A47" s="5"/>
      <c r="B47" s="31" t="s">
        <v>57</v>
      </c>
      <c r="C47" s="8"/>
      <c r="D47" s="12">
        <f>SUBTOTAL(9,D46:D46)</f>
        <v>34</v>
      </c>
      <c r="E47" s="17">
        <f>SUBTOTAL(9,E46:E46)</f>
        <v>175</v>
      </c>
      <c r="F47" s="14">
        <f>SUBTOTAL(9,F46:F46)</f>
        <v>5950</v>
      </c>
    </row>
    <row r="48" spans="1:6" ht="18.5" hidden="1" outlineLevel="2" x14ac:dyDescent="0.45">
      <c r="A48" s="5">
        <v>4550</v>
      </c>
      <c r="B48" s="15" t="s">
        <v>9</v>
      </c>
      <c r="C48" s="8">
        <v>44572</v>
      </c>
      <c r="D48" s="12">
        <v>12</v>
      </c>
      <c r="E48" s="17">
        <v>1200</v>
      </c>
      <c r="F48" s="14">
        <f>D48*E48</f>
        <v>14400</v>
      </c>
    </row>
    <row r="49" spans="1:6" ht="18.5" outlineLevel="1" collapsed="1" x14ac:dyDescent="0.45">
      <c r="A49" s="33"/>
      <c r="B49" s="38" t="s">
        <v>58</v>
      </c>
      <c r="C49" s="34"/>
      <c r="D49" s="35">
        <f>SUBTOTAL(9,D48:D48)</f>
        <v>12</v>
      </c>
      <c r="E49" s="36">
        <f>SUBTOTAL(9,E48:E48)</f>
        <v>1200</v>
      </c>
      <c r="F49" s="37">
        <f>SUBTOTAL(9,F48:F48)</f>
        <v>14400</v>
      </c>
    </row>
    <row r="50" spans="1:6" ht="18.5" x14ac:dyDescent="0.45">
      <c r="A50" s="33"/>
      <c r="B50" s="38" t="s">
        <v>59</v>
      </c>
      <c r="C50" s="34"/>
      <c r="D50" s="35">
        <f>SUBTOTAL(9,D2:D48)</f>
        <v>762</v>
      </c>
      <c r="E50" s="36">
        <f>SUBTOTAL(9,E2:E48)</f>
        <v>5036.6299999999992</v>
      </c>
      <c r="F50" s="37">
        <f>SUBTOTAL(9,F2:F48)</f>
        <v>105013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B9E9-CFF9-4A67-9810-65F37108FDCC}">
  <dimension ref="A1:D28"/>
  <sheetViews>
    <sheetView tabSelected="1" workbookViewId="0">
      <selection activeCell="D4" sqref="D4"/>
    </sheetView>
  </sheetViews>
  <sheetFormatPr defaultRowHeight="21" x14ac:dyDescent="0.5"/>
  <cols>
    <col min="1" max="1" width="21.453125" style="6" customWidth="1"/>
    <col min="2" max="2" width="34.1796875" style="6" bestFit="1" customWidth="1"/>
    <col min="3" max="3" width="31.81640625" customWidth="1"/>
    <col min="4" max="4" width="19.36328125" style="42" bestFit="1" customWidth="1"/>
  </cols>
  <sheetData>
    <row r="1" spans="1:4" x14ac:dyDescent="0.35">
      <c r="A1" s="4" t="s">
        <v>1</v>
      </c>
      <c r="B1" s="4" t="s">
        <v>3</v>
      </c>
      <c r="C1" s="4" t="s">
        <v>3</v>
      </c>
      <c r="D1" s="41" t="s">
        <v>60</v>
      </c>
    </row>
    <row r="2" spans="1:4" x14ac:dyDescent="0.5">
      <c r="A2" s="5">
        <v>14624</v>
      </c>
      <c r="B2" s="5" t="str">
        <f>_xlfn.XLOOKUP(A2,Dados!A:A,Dados!B:B)</f>
        <v>Panela De Pressão</v>
      </c>
      <c r="C2" s="5">
        <f>SUMIF(Dados!A:A,A2,Dados!F:F)</f>
        <v>3761.34</v>
      </c>
      <c r="D2" s="42" t="str">
        <f>IF(C2&gt;2000,"Meta batida","Em andamento")</f>
        <v>Meta batida</v>
      </c>
    </row>
    <row r="3" spans="1:4" x14ac:dyDescent="0.5">
      <c r="A3" s="5">
        <v>2714</v>
      </c>
      <c r="B3" s="5" t="str">
        <f>_xlfn.XLOOKUP(A3,Dados!A:A,Dados!B:B)</f>
        <v>Kit 15 Tangas</v>
      </c>
      <c r="C3" s="5">
        <f>SUMIF(Dados!A:A,A3,Dados!F:F)</f>
        <v>1816.52</v>
      </c>
      <c r="D3" s="42" t="str">
        <f t="shared" ref="D3:D22" si="0">IF(C3&gt;2000,"Meta batida","Em andamento")</f>
        <v>Em andamento</v>
      </c>
    </row>
    <row r="4" spans="1:4" x14ac:dyDescent="0.5">
      <c r="A4" s="5">
        <v>4550</v>
      </c>
      <c r="B4" s="5" t="str">
        <f>_xlfn.XLOOKUP(A4,Dados!A:A,Dados!B:B)</f>
        <v>Xiaomi Redmi 9 (Global)</v>
      </c>
      <c r="C4" s="5">
        <f>SUMIF(Dados!A:A,A4,Dados!F:F)</f>
        <v>14400</v>
      </c>
      <c r="D4" s="42" t="str">
        <f t="shared" si="0"/>
        <v>Meta batida</v>
      </c>
    </row>
    <row r="5" spans="1:4" x14ac:dyDescent="0.5">
      <c r="A5" s="5">
        <v>7494</v>
      </c>
      <c r="B5" s="5" t="str">
        <f>_xlfn.XLOOKUP(A5,Dados!A:A,Dados!B:B)</f>
        <v>Terno Slim</v>
      </c>
      <c r="C5" s="5">
        <f>SUMIF(Dados!A:A,A5,Dados!F:F)</f>
        <v>46494</v>
      </c>
      <c r="D5" s="42" t="str">
        <f t="shared" si="0"/>
        <v>Meta batida</v>
      </c>
    </row>
    <row r="6" spans="1:4" x14ac:dyDescent="0.5">
      <c r="A6" s="5">
        <v>4820</v>
      </c>
      <c r="B6" s="5" t="str">
        <f>_xlfn.XLOOKUP(A6,Dados!A:A,Dados!B:B)</f>
        <v>Kit Bomba A Vácuo Para Vinho</v>
      </c>
      <c r="C6" s="5">
        <f>SUMIF(Dados!A:A,A6,Dados!F:F)</f>
        <v>759.80000000000007</v>
      </c>
      <c r="D6" s="42" t="str">
        <f t="shared" si="0"/>
        <v>Em andamento</v>
      </c>
    </row>
    <row r="7" spans="1:4" x14ac:dyDescent="0.5">
      <c r="A7" s="5">
        <v>14264</v>
      </c>
      <c r="B7" s="5" t="str">
        <f>_xlfn.XLOOKUP(A7,Dados!A:A,Dados!B:B)</f>
        <v>Kit 120 Tangas</v>
      </c>
      <c r="C7" s="5">
        <f>SUMIF(Dados!A:A,A7,Dados!F:F)</f>
        <v>3808.7999999999997</v>
      </c>
      <c r="D7" s="42" t="str">
        <f t="shared" si="0"/>
        <v>Meta batida</v>
      </c>
    </row>
    <row r="8" spans="1:4" x14ac:dyDescent="0.5">
      <c r="A8" s="5">
        <v>9988</v>
      </c>
      <c r="B8" s="5" t="str">
        <f>_xlfn.XLOOKUP(A8,Dados!A:A,Dados!B:B)</f>
        <v>Panela De Pressão 4,5litros</v>
      </c>
      <c r="C8" s="5">
        <f>SUMIF(Dados!A:A,A8,Dados!F:F)</f>
        <v>1766.69</v>
      </c>
      <c r="D8" s="42" t="str">
        <f t="shared" si="0"/>
        <v>Em andamento</v>
      </c>
    </row>
    <row r="9" spans="1:4" x14ac:dyDescent="0.5">
      <c r="A9" s="5">
        <v>4226</v>
      </c>
      <c r="B9" s="5" t="str">
        <f>_xlfn.XLOOKUP(A9,Dados!A:A,Dados!B:B)</f>
        <v>Kit De Acessórios Para Banheiro</v>
      </c>
      <c r="C9" s="5">
        <f>SUMIF(Dados!A:A,A9,Dados!F:F)</f>
        <v>2205</v>
      </c>
      <c r="D9" s="42" t="str">
        <f t="shared" si="0"/>
        <v>Meta batida</v>
      </c>
    </row>
    <row r="10" spans="1:4" x14ac:dyDescent="0.5">
      <c r="A10" s="5">
        <v>19160</v>
      </c>
      <c r="B10" s="5" t="str">
        <f>_xlfn.XLOOKUP(A10,Dados!A:A,Dados!B:B)</f>
        <v>Colchão Casal de espuma</v>
      </c>
      <c r="C10" s="5">
        <f>SUMIF(Dados!A:A,A10,Dados!F:F)</f>
        <v>1467.8</v>
      </c>
      <c r="D10" s="42" t="str">
        <f t="shared" si="0"/>
        <v>Em andamento</v>
      </c>
    </row>
    <row r="11" spans="1:4" x14ac:dyDescent="0.5">
      <c r="A11" s="5">
        <v>17854</v>
      </c>
      <c r="B11" s="5" t="str">
        <f>_xlfn.XLOOKUP(A11,Dados!A:A,Dados!B:B)</f>
        <v>Moedor De Cafe Manual</v>
      </c>
      <c r="C11" s="5">
        <f>SUMIF(Dados!A:A,A11,Dados!F:F)</f>
        <v>467.96</v>
      </c>
      <c r="D11" s="42" t="str">
        <f t="shared" si="0"/>
        <v>Em andamento</v>
      </c>
    </row>
    <row r="12" spans="1:4" x14ac:dyDescent="0.5">
      <c r="A12" s="5">
        <v>12630</v>
      </c>
      <c r="B12" s="5" t="str">
        <f>_xlfn.XLOOKUP(A12,Dados!A:A,Dados!B:B)</f>
        <v>LG K22 Dual SIM 32 GB</v>
      </c>
      <c r="C12" s="5">
        <f>SUMIF(Dados!A:A,A12,Dados!F:F)</f>
        <v>2997</v>
      </c>
      <c r="D12" s="42" t="str">
        <f t="shared" si="0"/>
        <v>Meta batida</v>
      </c>
    </row>
    <row r="13" spans="1:4" x14ac:dyDescent="0.5">
      <c r="A13" s="5">
        <v>17608</v>
      </c>
      <c r="B13" s="5" t="str">
        <f>_xlfn.XLOOKUP(A13,Dados!A:A,Dados!B:B)</f>
        <v>Spray Borrifador Pulverizador</v>
      </c>
      <c r="C13" s="5">
        <f>SUMIF(Dados!A:A,A13,Dados!F:F)</f>
        <v>209.39999999999998</v>
      </c>
      <c r="D13" s="42" t="str">
        <f t="shared" si="0"/>
        <v>Em andamento</v>
      </c>
    </row>
    <row r="14" spans="1:4" x14ac:dyDescent="0.5">
      <c r="A14" s="5">
        <v>5740</v>
      </c>
      <c r="B14" s="5" t="str">
        <f>_xlfn.XLOOKUP(A14,Dados!A:A,Dados!B:B)</f>
        <v>Camiseta Regata</v>
      </c>
      <c r="C14" s="5">
        <f>SUMIF(Dados!A:A,A14,Dados!F:F)</f>
        <v>2479.8599999999997</v>
      </c>
      <c r="D14" s="42" t="str">
        <f t="shared" si="0"/>
        <v>Meta batida</v>
      </c>
    </row>
    <row r="15" spans="1:4" x14ac:dyDescent="0.5">
      <c r="A15" s="5">
        <v>13700</v>
      </c>
      <c r="B15" s="5" t="str">
        <f>_xlfn.XLOOKUP(A15,Dados!A:A,Dados!B:B)</f>
        <v>Headset gamer Knup KP-400</v>
      </c>
      <c r="C15" s="5">
        <f>SUMIF(Dados!A:A,A15,Dados!F:F)</f>
        <v>1224</v>
      </c>
      <c r="D15" s="42" t="str">
        <f t="shared" si="0"/>
        <v>Em andamento</v>
      </c>
    </row>
    <row r="16" spans="1:4" x14ac:dyDescent="0.5">
      <c r="A16" s="5">
        <v>3886</v>
      </c>
      <c r="B16" s="5" t="str">
        <f>_xlfn.XLOOKUP(A16,Dados!A:A,Dados!B:B)</f>
        <v>Calça Jeans Feminina</v>
      </c>
      <c r="C16" s="5">
        <f>SUMIF(Dados!A:A,A16,Dados!F:F)</f>
        <v>5637.3</v>
      </c>
      <c r="D16" s="42" t="str">
        <f t="shared" si="0"/>
        <v>Meta batida</v>
      </c>
    </row>
    <row r="17" spans="1:4" x14ac:dyDescent="0.5">
      <c r="A17" s="5">
        <v>5982</v>
      </c>
      <c r="B17" s="5" t="str">
        <f>_xlfn.XLOOKUP(A17,Dados!A:A,Dados!B:B)</f>
        <v>Cafeteira Aluminio Extra</v>
      </c>
      <c r="C17" s="5">
        <f>SUMIF(Dados!A:A,A17,Dados!F:F)</f>
        <v>450</v>
      </c>
      <c r="D17" s="42" t="str">
        <f t="shared" si="0"/>
        <v>Em andamento</v>
      </c>
    </row>
    <row r="18" spans="1:4" x14ac:dyDescent="0.5">
      <c r="A18" s="5">
        <v>15632</v>
      </c>
      <c r="B18" s="5" t="str">
        <f>_xlfn.XLOOKUP(A18,Dados!A:A,Dados!B:B)</f>
        <v xml:space="preserve">Corset Corselet Underbust </v>
      </c>
      <c r="C18" s="5">
        <f>SUMIF(Dados!A:A,A18,Dados!F:F)</f>
        <v>1799.82</v>
      </c>
      <c r="D18" s="42" t="str">
        <f t="shared" si="0"/>
        <v>Em andamento</v>
      </c>
    </row>
    <row r="19" spans="1:4" x14ac:dyDescent="0.5">
      <c r="A19" s="5">
        <v>11340</v>
      </c>
      <c r="B19" s="5" t="str">
        <f>_xlfn.XLOOKUP(A19,Dados!A:A,Dados!B:B)</f>
        <v>Botas Feminina Montaria</v>
      </c>
      <c r="C19" s="5">
        <f>SUMIF(Dados!A:A,A19,Dados!F:F)</f>
        <v>2098.6</v>
      </c>
      <c r="D19" s="42" t="str">
        <f t="shared" si="0"/>
        <v>Meta batida</v>
      </c>
    </row>
    <row r="20" spans="1:4" x14ac:dyDescent="0.5">
      <c r="A20" s="5">
        <v>2290</v>
      </c>
      <c r="B20" s="5" t="str">
        <f>_xlfn.XLOOKUP(A20,Dados!A:A,Dados!B:B)</f>
        <v>Camiseta Cinta Modeladora</v>
      </c>
      <c r="C20" s="5">
        <f>SUMIF(Dados!A:A,A20,Dados!F:F)</f>
        <v>2213.59</v>
      </c>
      <c r="D20" s="42" t="str">
        <f t="shared" si="0"/>
        <v>Meta batida</v>
      </c>
    </row>
    <row r="21" spans="1:4" x14ac:dyDescent="0.5">
      <c r="A21" s="5">
        <v>7530</v>
      </c>
      <c r="B21" s="5" t="str">
        <f>_xlfn.XLOOKUP(A21,Dados!A:A,Dados!B:B)</f>
        <v>Terno Slim Microfibra</v>
      </c>
      <c r="C21" s="5">
        <f>SUMIF(Dados!A:A,A21,Dados!F:F)</f>
        <v>5950</v>
      </c>
      <c r="D21" s="42" t="str">
        <f t="shared" si="0"/>
        <v>Meta batida</v>
      </c>
    </row>
    <row r="22" spans="1:4" x14ac:dyDescent="0.5">
      <c r="A22" s="5">
        <v>2345</v>
      </c>
      <c r="B22" s="5" t="str">
        <f>_xlfn.XLOOKUP(A22,Dados!A:A,Dados!B:B)</f>
        <v>Caixa de ferramentas Fercar</v>
      </c>
      <c r="C22" s="5">
        <f>SUMIF(Dados!A:A,A22,Dados!F:F)</f>
        <v>3005.52</v>
      </c>
      <c r="D22" s="42" t="str">
        <f t="shared" si="0"/>
        <v>Meta batida</v>
      </c>
    </row>
    <row r="23" spans="1:4" x14ac:dyDescent="0.5">
      <c r="A23" s="39"/>
      <c r="B23" s="40"/>
    </row>
    <row r="24" spans="1:4" x14ac:dyDescent="0.5">
      <c r="A24"/>
      <c r="B24"/>
    </row>
    <row r="25" spans="1:4" x14ac:dyDescent="0.5">
      <c r="A25"/>
      <c r="B25"/>
    </row>
    <row r="26" spans="1:4" x14ac:dyDescent="0.5">
      <c r="A26"/>
      <c r="B26"/>
    </row>
    <row r="27" spans="1:4" x14ac:dyDescent="0.5">
      <c r="A27"/>
      <c r="B27"/>
    </row>
    <row r="28" spans="1:4" x14ac:dyDescent="0.5">
      <c r="A28"/>
      <c r="B2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Teste 2</vt:lpstr>
      <vt:lpstr>Dados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2026-08-07T20:25:04Z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2026-08-07T20:02:05Z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3ab35fbf-167c-4ff8-a41c-b7ba5334c3f4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
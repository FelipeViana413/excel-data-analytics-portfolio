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46" documentId="13_ncr:1_{F755603A-27C1-4FFD-AE44-35115F1BAE3F}" xr6:coauthVersionLast="47" xr6:coauthVersionMax="47" xr10:uidLastSave="{D356BC94-ADED-4B4C-9770-A4B4B6E99DB7}"/>
  <bookViews>
    <workbookView xWindow="-110" yWindow="-110" windowWidth="19420" windowHeight="11500" tabRatio="902" firstSheet="6" activeTab="6" xr2:uid="{A1D71C93-AD03-4E23-96D0-6B5E4DB0459A}"/>
  </bookViews>
  <sheets>
    <sheet name="Professor Se ex. 1" sheetId="1" r:id="rId1"/>
    <sheet name="Professor Se ex. 2" sheetId="8" r:id="rId2"/>
    <sheet name="Professor Se Aninhada" sheetId="15" r:id="rId3"/>
    <sheet name="Professor Desafio" sheetId="16" r:id="rId4"/>
    <sheet name="Professor Se com E" sheetId="9" r:id="rId5"/>
    <sheet name="Professor Se com Ou" sheetId="17" r:id="rId6"/>
    <sheet name="Curiosidades" sheetId="18" r:id="rId7"/>
    <sheet name="Aluno Se ex. 1" sheetId="19" r:id="rId8"/>
    <sheet name="Aluno Se ex. 2" sheetId="20" r:id="rId9"/>
    <sheet name="Aluno Se Aninhada" sheetId="21" r:id="rId10"/>
    <sheet name="Aluno Desafio" sheetId="22" r:id="rId11"/>
    <sheet name="Aluno Se com E" sheetId="23" r:id="rId12"/>
    <sheet name="Aluno Se com Ou" sheetId="2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8" l="1" a="1"/>
  <c r="T6" i="18" s="1"/>
  <c r="N6" i="18" a="1"/>
  <c r="N6" i="18" s="1"/>
  <c r="I6" i="18" a="1"/>
  <c r="I6" i="18" s="1"/>
  <c r="C40" i="24"/>
  <c r="C41" i="24"/>
  <c r="C42" i="24"/>
  <c r="C43" i="24"/>
  <c r="C39" i="24"/>
  <c r="C25" i="24" a="1"/>
  <c r="C25" i="24" s="1"/>
  <c r="C26" i="24" a="1"/>
  <c r="C26" i="24" s="1"/>
  <c r="C27" i="24" a="1"/>
  <c r="C27" i="24"/>
  <c r="C28" i="24" a="1"/>
  <c r="C28" i="24" s="1"/>
  <c r="C29" i="24" a="1"/>
  <c r="C29" i="24" s="1"/>
  <c r="C24" i="24" a="1"/>
  <c r="C24" i="24" s="1"/>
  <c r="D9" i="24" a="1"/>
  <c r="D9" i="24" s="1"/>
  <c r="D10" i="24" a="1"/>
  <c r="D10" i="24" s="1"/>
  <c r="D11" i="24" a="1"/>
  <c r="D11" i="24" s="1"/>
  <c r="D12" i="24" a="1"/>
  <c r="D12" i="24" s="1"/>
  <c r="D13" i="24" a="1"/>
  <c r="D13" i="24" s="1"/>
  <c r="D8" i="24" a="1"/>
  <c r="D8" i="24" s="1"/>
  <c r="C9" i="24"/>
  <c r="C10" i="24"/>
  <c r="C11" i="24"/>
  <c r="C12" i="24"/>
  <c r="C13" i="24"/>
  <c r="C8" i="24"/>
  <c r="D73" i="23"/>
  <c r="D74" i="23"/>
  <c r="D75" i="23"/>
  <c r="D76" i="23"/>
  <c r="D77" i="23"/>
  <c r="E73" i="23"/>
  <c r="E74" i="23"/>
  <c r="E75" i="23"/>
  <c r="E76" i="23"/>
  <c r="E77" i="23"/>
  <c r="E72" i="23"/>
  <c r="D72" i="23"/>
  <c r="C73" i="23"/>
  <c r="C74" i="23"/>
  <c r="C75" i="23"/>
  <c r="C76" i="23"/>
  <c r="C77" i="23"/>
  <c r="C72" i="23"/>
  <c r="G57" i="23"/>
  <c r="G58" i="23"/>
  <c r="G59" i="23"/>
  <c r="G60" i="23"/>
  <c r="G61" i="23"/>
  <c r="G56" i="23"/>
  <c r="F57" i="23"/>
  <c r="F58" i="23"/>
  <c r="F59" i="23"/>
  <c r="F60" i="23"/>
  <c r="F61" i="23"/>
  <c r="F56" i="23"/>
  <c r="E57" i="23"/>
  <c r="E58" i="23"/>
  <c r="E59" i="23"/>
  <c r="E60" i="23"/>
  <c r="E61" i="23"/>
  <c r="E56" i="23"/>
  <c r="D57" i="23"/>
  <c r="D58" i="23"/>
  <c r="D59" i="23"/>
  <c r="D60" i="23"/>
  <c r="D61" i="23"/>
  <c r="D56" i="23"/>
  <c r="E36" i="23"/>
  <c r="E37" i="23"/>
  <c r="E38" i="23"/>
  <c r="E39" i="23"/>
  <c r="E40" i="23"/>
  <c r="E35" i="23"/>
  <c r="D36" i="23"/>
  <c r="D37" i="23"/>
  <c r="D38" i="23"/>
  <c r="D39" i="23"/>
  <c r="D40" i="23"/>
  <c r="D35" i="23"/>
  <c r="D20" i="23"/>
  <c r="D21" i="23"/>
  <c r="D22" i="23"/>
  <c r="D23" i="23"/>
  <c r="D24" i="23"/>
  <c r="D19" i="23"/>
  <c r="E36" i="22"/>
  <c r="E37" i="22"/>
  <c r="E38" i="22"/>
  <c r="E39" i="22"/>
  <c r="E40" i="22"/>
  <c r="E41" i="22"/>
  <c r="E35" i="22"/>
  <c r="D36" i="22"/>
  <c r="D37" i="22"/>
  <c r="D38" i="22"/>
  <c r="D39" i="22"/>
  <c r="D40" i="22"/>
  <c r="D41" i="22"/>
  <c r="D35" i="22"/>
  <c r="C36" i="22"/>
  <c r="C37" i="22"/>
  <c r="C38" i="22"/>
  <c r="C39" i="22"/>
  <c r="C40" i="22"/>
  <c r="C41" i="22"/>
  <c r="C35" i="22"/>
  <c r="C22" i="22"/>
  <c r="C23" i="22"/>
  <c r="C24" i="22"/>
  <c r="C25" i="22"/>
  <c r="C26" i="22"/>
  <c r="C27" i="22"/>
  <c r="C21" i="22"/>
  <c r="D7" i="23"/>
  <c r="D8" i="23"/>
  <c r="D9" i="23"/>
  <c r="D10" i="23"/>
  <c r="D11" i="23"/>
  <c r="D6" i="23"/>
  <c r="C8" i="22"/>
  <c r="C9" i="22"/>
  <c r="C10" i="22"/>
  <c r="C11" i="22"/>
  <c r="C12" i="22"/>
  <c r="C7" i="22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29" i="21"/>
  <c r="C10" i="21"/>
  <c r="C11" i="21"/>
  <c r="C12" i="21"/>
  <c r="C13" i="21"/>
  <c r="C14" i="21"/>
  <c r="C9" i="21"/>
  <c r="E7" i="20"/>
  <c r="E8" i="20"/>
  <c r="E9" i="20"/>
  <c r="E10" i="20"/>
  <c r="E11" i="20"/>
  <c r="E12" i="20"/>
  <c r="E13" i="20"/>
  <c r="E6" i="20"/>
  <c r="C34" i="19"/>
  <c r="C35" i="19"/>
  <c r="C36" i="19"/>
  <c r="C37" i="19"/>
  <c r="C38" i="19"/>
  <c r="C39" i="19"/>
  <c r="C33" i="19"/>
  <c r="C22" i="19"/>
  <c r="C23" i="19"/>
  <c r="C24" i="19"/>
  <c r="C21" i="19"/>
  <c r="D9" i="19"/>
  <c r="D10" i="19"/>
  <c r="D11" i="19"/>
  <c r="D12" i="19"/>
  <c r="D13" i="19"/>
  <c r="D8" i="19"/>
  <c r="C24" i="1"/>
  <c r="C23" i="1"/>
  <c r="C22" i="1"/>
  <c r="C21" i="1"/>
  <c r="D8" i="1"/>
  <c r="D9" i="1"/>
  <c r="D10" i="1"/>
  <c r="D13" i="1"/>
  <c r="D12" i="1"/>
  <c r="D11" i="1"/>
  <c r="D6" i="18" l="1" a="1"/>
  <c r="D6" i="18" s="1"/>
  <c r="C39" i="17" l="1"/>
  <c r="C43" i="17"/>
  <c r="C42" i="17"/>
  <c r="C41" i="17"/>
  <c r="C40" i="17"/>
  <c r="C24" i="17"/>
  <c r="C28" i="17"/>
  <c r="C27" i="17"/>
  <c r="C26" i="17"/>
  <c r="C25" i="17"/>
  <c r="C8" i="17"/>
  <c r="D8" i="17"/>
  <c r="D13" i="17"/>
  <c r="D12" i="17"/>
  <c r="D11" i="17"/>
  <c r="D10" i="17"/>
  <c r="D9" i="17"/>
  <c r="C13" i="17"/>
  <c r="C12" i="17"/>
  <c r="C11" i="17"/>
  <c r="C10" i="17"/>
  <c r="C9" i="17"/>
  <c r="E72" i="9"/>
  <c r="E77" i="9"/>
  <c r="E76" i="9"/>
  <c r="E75" i="9"/>
  <c r="E74" i="9"/>
  <c r="E73" i="9"/>
  <c r="C72" i="9"/>
  <c r="D77" i="9"/>
  <c r="D76" i="9"/>
  <c r="D75" i="9"/>
  <c r="D74" i="9"/>
  <c r="D73" i="9"/>
  <c r="D72" i="9"/>
  <c r="C77" i="9"/>
  <c r="C76" i="9"/>
  <c r="C75" i="9"/>
  <c r="C74" i="9"/>
  <c r="C73" i="9"/>
  <c r="G56" i="9"/>
  <c r="G61" i="9"/>
  <c r="G60" i="9"/>
  <c r="G59" i="9"/>
  <c r="G58" i="9"/>
  <c r="G57" i="9"/>
  <c r="F61" i="9"/>
  <c r="F60" i="9"/>
  <c r="F59" i="9"/>
  <c r="F58" i="9"/>
  <c r="F57" i="9"/>
  <c r="F56" i="9"/>
  <c r="E59" i="9"/>
  <c r="E57" i="9"/>
  <c r="E61" i="9"/>
  <c r="E60" i="9"/>
  <c r="E58" i="9"/>
  <c r="E56" i="9"/>
  <c r="D57" i="9"/>
  <c r="D61" i="9"/>
  <c r="D60" i="9"/>
  <c r="D59" i="9"/>
  <c r="D58" i="9"/>
  <c r="D56" i="9"/>
  <c r="E40" i="9"/>
  <c r="E39" i="9"/>
  <c r="E38" i="9"/>
  <c r="E37" i="9"/>
  <c r="E36" i="9"/>
  <c r="E35" i="9"/>
  <c r="D35" i="9"/>
  <c r="D38" i="9"/>
  <c r="D40" i="9"/>
  <c r="D39" i="9"/>
  <c r="D37" i="9"/>
  <c r="D36" i="9"/>
  <c r="D24" i="9"/>
  <c r="D23" i="9"/>
  <c r="D22" i="9"/>
  <c r="D21" i="9"/>
  <c r="D20" i="9"/>
  <c r="D19" i="9"/>
  <c r="D6" i="9"/>
  <c r="D10" i="9"/>
  <c r="D9" i="9"/>
  <c r="D11" i="9"/>
  <c r="D8" i="9"/>
  <c r="D7" i="9"/>
  <c r="E39" i="16"/>
  <c r="E35" i="16"/>
  <c r="E41" i="16"/>
  <c r="E40" i="16"/>
  <c r="E38" i="16"/>
  <c r="E37" i="16"/>
  <c r="E36" i="16"/>
  <c r="C35" i="16"/>
  <c r="D35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21" i="16"/>
  <c r="E21" i="16"/>
  <c r="D22" i="16"/>
  <c r="D21" i="16"/>
  <c r="C27" i="16"/>
  <c r="C26" i="16"/>
  <c r="C25" i="16"/>
  <c r="C24" i="16"/>
  <c r="C23" i="16"/>
  <c r="C22" i="16"/>
  <c r="E27" i="16"/>
  <c r="E26" i="16"/>
  <c r="E25" i="16"/>
  <c r="E24" i="16"/>
  <c r="E23" i="16"/>
  <c r="E22" i="16"/>
  <c r="D24" i="16"/>
  <c r="D27" i="16"/>
  <c r="D26" i="16"/>
  <c r="D25" i="16"/>
  <c r="D23" i="16"/>
  <c r="D11" i="16"/>
  <c r="C9" i="16"/>
  <c r="C7" i="16"/>
  <c r="C11" i="16"/>
  <c r="C8" i="16"/>
  <c r="C12" i="16"/>
  <c r="C10" i="16"/>
  <c r="D7" i="16"/>
  <c r="D12" i="16"/>
  <c r="D10" i="16"/>
  <c r="D9" i="16"/>
  <c r="D8" i="16"/>
  <c r="C29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9" i="15"/>
  <c r="C10" i="15"/>
  <c r="C14" i="15"/>
  <c r="C13" i="15"/>
  <c r="C12" i="15"/>
  <c r="C11" i="15"/>
  <c r="E6" i="8"/>
  <c r="E10" i="8"/>
  <c r="E13" i="8"/>
  <c r="E12" i="8"/>
  <c r="E11" i="8"/>
  <c r="E9" i="8"/>
  <c r="E8" i="8"/>
  <c r="E7" i="8"/>
  <c r="C35" i="1"/>
  <c r="C39" i="1"/>
  <c r="C38" i="1"/>
  <c r="C37" i="1"/>
  <c r="C36" i="1"/>
  <c r="C34" i="1"/>
  <c r="C33" i="1"/>
  <c r="D33" i="1"/>
  <c r="E9" i="24" a="1"/>
  <c r="E9" i="24" s="1"/>
  <c r="D14" i="17" a="1"/>
  <c r="D14" i="17" s="1"/>
  <c r="E9" i="17" a="1"/>
  <c r="E9" i="1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<sst xmlns="http://schemas.openxmlformats.org/spreadsheetml/2006/main" count="426" uniqueCount="134">
  <si>
    <t>Nome</t>
  </si>
  <si>
    <t>Média</t>
  </si>
  <si>
    <t>Situação</t>
  </si>
  <si>
    <t>Ademir</t>
  </si>
  <si>
    <t>Bruna</t>
  </si>
  <si>
    <t>Tuane</t>
  </si>
  <si>
    <t>Vera</t>
  </si>
  <si>
    <t>SE / IF</t>
  </si>
  <si>
    <t>Fruta</t>
  </si>
  <si>
    <t>Laranja</t>
  </si>
  <si>
    <t>Banana</t>
  </si>
  <si>
    <t>Sexo</t>
  </si>
  <si>
    <t>Valor Fixo</t>
  </si>
  <si>
    <t>Valor com desconto</t>
  </si>
  <si>
    <t>Desconto</t>
  </si>
  <si>
    <t>Mafalda</t>
  </si>
  <si>
    <t>F</t>
  </si>
  <si>
    <t>Amanda</t>
  </si>
  <si>
    <t>M</t>
  </si>
  <si>
    <t>Jorge</t>
  </si>
  <si>
    <t>Miguel</t>
  </si>
  <si>
    <t>Ricardo</t>
  </si>
  <si>
    <t>Bianca</t>
  </si>
  <si>
    <t>Lucas</t>
  </si>
  <si>
    <t>Samanta</t>
  </si>
  <si>
    <t>E</t>
  </si>
  <si>
    <t>Uva</t>
  </si>
  <si>
    <t>A</t>
  </si>
  <si>
    <t>B</t>
  </si>
  <si>
    <t>C</t>
  </si>
  <si>
    <t>W</t>
  </si>
  <si>
    <t>Rose</t>
  </si>
  <si>
    <t>Status</t>
  </si>
  <si>
    <t>Nota</t>
  </si>
  <si>
    <t>Aprovado(a)</t>
  </si>
  <si>
    <t>Recuperação</t>
  </si>
  <si>
    <t>&gt;= 6 e &lt;=10</t>
  </si>
  <si>
    <t>&gt;=2 e &lt;6</t>
  </si>
  <si>
    <t>Reprovado(a)</t>
  </si>
  <si>
    <t>&lt;2</t>
  </si>
  <si>
    <t>e Reprovado(a) se for menor que 6</t>
  </si>
  <si>
    <t>1) Crie uma um fórmula com a função Se que imprima Aprovado(a) se a média for maior ou igual a 6</t>
  </si>
  <si>
    <t>e Fruta inválida quando não for Laranja</t>
  </si>
  <si>
    <t>Goiaba</t>
  </si>
  <si>
    <t>2) Crie uma um fórmula com a função Se que imprima Laranja quando a fruta for Laranja</t>
  </si>
  <si>
    <t>1) Crie uma fórmula com a função Se que calcule o valor a pagar com desconto</t>
  </si>
  <si>
    <t>considere desconto de 2,50 para sexo Feminino e 1 para sexo Masculino</t>
  </si>
  <si>
    <t>1) Crie uma um fórmula com a função Se Aninhada que imprima:</t>
  </si>
  <si>
    <t xml:space="preserve"> - Letra A quando for A</t>
  </si>
  <si>
    <t xml:space="preserve"> - Letra B quando for B</t>
  </si>
  <si>
    <t xml:space="preserve"> - Letra C quando for C</t>
  </si>
  <si>
    <t xml:space="preserve"> - Outra Letra quando for qualquer outro valor</t>
  </si>
  <si>
    <t xml:space="preserve"> - Maior que 100 quando o número for maior que 100</t>
  </si>
  <si>
    <t xml:space="preserve"> - Entre 80 e 100 quando o número for entre 80 e 100</t>
  </si>
  <si>
    <t xml:space="preserve"> - Menor que ZERO quando o número for menor que ZERO</t>
  </si>
  <si>
    <t xml:space="preserve"> - Entre 60 e 79 quando o número for entre 60 e 79</t>
  </si>
  <si>
    <t xml:space="preserve"> - Entre 40 e 59 quando o número for entre 40 e 59</t>
  </si>
  <si>
    <t xml:space="preserve"> - Entre 20 e 39 quando o número for entre 20 e 39</t>
  </si>
  <si>
    <t xml:space="preserve"> - Entre 0 e 19 quando o número for entre 0 e 19</t>
  </si>
  <si>
    <t>Desafio</t>
  </si>
  <si>
    <t>Maça</t>
  </si>
  <si>
    <t>maÇa</t>
  </si>
  <si>
    <t>MAçA</t>
  </si>
  <si>
    <t>.</t>
  </si>
  <si>
    <t>Segunda na feira tem Maça</t>
  </si>
  <si>
    <t>Segunda na feira tem Laranja</t>
  </si>
  <si>
    <t>Vamos compra Maça hoje</t>
  </si>
  <si>
    <t>Vamos compra Laranja hoje</t>
  </si>
  <si>
    <t>Uva;Banana;Laranja;Maça</t>
  </si>
  <si>
    <t>Uva;Banana;Laranja;Goiaba</t>
  </si>
  <si>
    <t>Data</t>
  </si>
  <si>
    <t>Dia da Semana</t>
  </si>
  <si>
    <t>Dia Semana</t>
  </si>
  <si>
    <t>Intervalo Data</t>
  </si>
  <si>
    <t>Resultado</t>
  </si>
  <si>
    <t>Letra</t>
  </si>
  <si>
    <t>Número</t>
  </si>
  <si>
    <t>MÍNIMO com Se</t>
  </si>
  <si>
    <t>MÁXIMO com Se</t>
  </si>
  <si>
    <t>Cor</t>
  </si>
  <si>
    <t>Azul</t>
  </si>
  <si>
    <t>Branco</t>
  </si>
  <si>
    <t>Rosa</t>
  </si>
  <si>
    <t>Verde</t>
  </si>
  <si>
    <t>Marrom</t>
  </si>
  <si>
    <t xml:space="preserve">3) Crie uma fórmula com a função Se que imprima "No prazo" se a data de hoje </t>
  </si>
  <si>
    <t>1) Crie uma um fórmula com a função Se que imprima "É maça" quando encontrar a palavra Maça.</t>
  </si>
  <si>
    <t>e  imprima "Tem Maça" quando encontrar a palavra Maça e "Outra Fruta" caso não encontre.</t>
  </si>
  <si>
    <t>frase "boas vendas" caso seja um dia entre segunda e sexta e "não pode vender" caso seja fim de semana.</t>
  </si>
  <si>
    <t>se na coluna B estiver escrito Banana e na coluna C for o dia 5 caso contrário, imprima "Não comprar"</t>
  </si>
  <si>
    <t>1) Crie uma fórmula com a função Se com E que imprima "Comprar Banana dia 5"</t>
  </si>
  <si>
    <t>2) Crie uma fórmula com a função Se com E que imprima "Comprar Banana dia 5" ou "Comprar Maça dia 6"</t>
  </si>
  <si>
    <t>se na coluna B estiver escrito Banana ou Maça e na coluna C for o dia 5 ou 6 caso contrário, imprima "Não comprar"</t>
  </si>
  <si>
    <t>BR-Maça</t>
  </si>
  <si>
    <t>BR-maÇa</t>
  </si>
  <si>
    <t>AR-MAçA</t>
  </si>
  <si>
    <t>BR-.</t>
  </si>
  <si>
    <t>CL-W</t>
  </si>
  <si>
    <t>BR-MaÇA</t>
  </si>
  <si>
    <t>Solução p1</t>
  </si>
  <si>
    <t>Solução p2</t>
  </si>
  <si>
    <t>Solução Final</t>
  </si>
  <si>
    <t>3) Crie uma fórmula com a função Se com E que imprima "Comprar Banana entre 16/01 e 28/01"</t>
  </si>
  <si>
    <t>se na coluna B estiver escrito Banana e na coluna C for uma data entre 16/01 e 28/01</t>
  </si>
  <si>
    <t>caso contrário, imprima "Não comprar"</t>
  </si>
  <si>
    <t>4) Crie uma fórmula com a função Se com E que imprima "Aprovado(a)", "Recuperação" ou "Reprovado"</t>
  </si>
  <si>
    <t>de acordo com as informações da tabela abaixo:</t>
  </si>
  <si>
    <t>5) Crie uma um fórmula com a função Se com E que imprima "Maça do Brasil" quando:</t>
  </si>
  <si>
    <t>- Na coluna B as duas primeiras letras sejam igual a br</t>
  </si>
  <si>
    <t>- Na coluna B as quatro últimas letras sejam igual a maça</t>
  </si>
  <si>
    <t>Outra Maneira</t>
  </si>
  <si>
    <t>1) Crie uma fórmula com a função Se com OU que imprima "Letra A, B ou C"</t>
  </si>
  <si>
    <t>se na coluna B estiver escrito A, B ou C, caso contrário imprima "Outra Letra"</t>
  </si>
  <si>
    <t>2) Crie uma fórmula com a função Se com Ou que imprima "A cor é Azul ou Verde"</t>
  </si>
  <si>
    <t>caso contrário, imprima apenas um simples "-"</t>
  </si>
  <si>
    <t>3) Crie uma fórmula com a função Se com Ou que imprima "Número menor que 10 ou maior que 50"</t>
  </si>
  <si>
    <t>com base no número que tem na coluna B</t>
  </si>
  <si>
    <t>Soma se o número é menor ou igual a 20</t>
  </si>
  <si>
    <t>Conta quantas vezes tem o número 32 na Lista</t>
  </si>
  <si>
    <t>for menor que a Data da coluna B e "Vencido" se a Data de hoje for Maior que a Data da coluna B</t>
  </si>
  <si>
    <t>2) Crie uma fórmula com a função Se Aninhada que imprima:</t>
  </si>
  <si>
    <t xml:space="preserve">3) Crie uma fórmula com a função Se que leia a data de uma célula e imprima o dia da semana e a </t>
  </si>
  <si>
    <t>2) Crie uma fórmula com a função Se que localize a palavra Maça em uma frase</t>
  </si>
  <si>
    <t>se na coluna B estiver escrito Azul ou Verde</t>
  </si>
  <si>
    <t>1) Crie uma fórmula com a função Se Aninhada que imprima:</t>
  </si>
  <si>
    <t>1) Crie uma fórmula com a função Se que imprima "É maça" quando encontrar a palavra Maça.</t>
  </si>
  <si>
    <t>MAÇA</t>
  </si>
  <si>
    <t>Vamos comprar Maça hoje</t>
  </si>
  <si>
    <t>Vamos comprar Laranja hoje</t>
  </si>
  <si>
    <t>5) Crie uma fórmula com a função Se com E que imprima "Maça do Brasil" quando:</t>
  </si>
  <si>
    <t>VERdE</t>
  </si>
  <si>
    <t>azUl</t>
  </si>
  <si>
    <t>1) Crie uma fórmula com a função Se que imprima Aprovado(a) se a média for maior ou igual a 6</t>
  </si>
  <si>
    <t>2) Crie uma fórmula com a função Se que imprima Laranja quando a fruta for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</si>
</sst>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D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4" fontId="6" fillId="0" borderId="2" xfId="1" applyFont="1" applyFill="1" applyBorder="1" applyAlignment="1">
      <alignment horizontal="center"/>
    </xf>
    <xf numFmtId="0" fontId="6" fillId="0" borderId="0" xfId="0" applyFont="1" applyAlignment="1">
      <alignment horizontal="left" indent="3"/>
    </xf>
    <xf numFmtId="44" fontId="8" fillId="0" borderId="2" xfId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8" fillId="3" borderId="2" xfId="1" applyFont="1" applyFill="1" applyBorder="1" applyAlignment="1">
      <alignment horizontal="center"/>
    </xf>
    <xf numFmtId="0" fontId="6" fillId="0" borderId="0" xfId="0" applyFont="1" applyAlignment="1">
      <alignment horizontal="left" indent="4"/>
    </xf>
    <xf numFmtId="0" fontId="9" fillId="0" borderId="0" xfId="0" applyFont="1" applyAlignment="1">
      <alignment horizontal="left" indent="3"/>
    </xf>
    <xf numFmtId="14" fontId="8" fillId="0" borderId="2" xfId="0" applyNumberFormat="1" applyFont="1" applyBorder="1" applyAlignment="1">
      <alignment horizontal="center"/>
    </xf>
    <xf numFmtId="1" fontId="8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8" fillId="0" borderId="2" xfId="1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quotePrefix="1" applyFont="1" applyAlignment="1">
      <alignment horizontal="left" indent="3"/>
    </xf>
    <xf numFmtId="0" fontId="9" fillId="3" borderId="2" xfId="0" applyFont="1" applyFill="1" applyBorder="1" applyAlignment="1">
      <alignment horizontal="center"/>
    </xf>
    <xf numFmtId="44" fontId="9" fillId="3" borderId="2" xfId="1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D9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7A4F-0A30-4586-BB0B-69BD16D06F95}">
  <sheetPr codeName="Planilha1"/>
  <dimension ref="B2:D39"/>
  <sheetViews>
    <sheetView showGridLines="0" workbookViewId="0">
      <selection activeCell="F5" sqref="F5"/>
    </sheetView>
  </sheetViews>
  <sheetFormatPr defaultRowHeight="14.5" x14ac:dyDescent="0.35"/>
  <cols>
    <col min="2" max="2" width="25.36328125" style="1" customWidth="1"/>
    <col min="3" max="3" width="44.81640625" customWidth="1"/>
    <col min="4" max="4" width="35.54296875" style="1" customWidth="1"/>
  </cols>
  <sheetData>
    <row r="2" spans="2:4" ht="31" x14ac:dyDescent="0.7">
      <c r="B2" s="4" t="s">
        <v>7</v>
      </c>
    </row>
    <row r="3" spans="2:4" ht="31" x14ac:dyDescent="0.7">
      <c r="B3" s="4"/>
    </row>
    <row r="4" spans="2:4" ht="23.5" x14ac:dyDescent="0.55000000000000004">
      <c r="B4" s="10" t="s">
        <v>132</v>
      </c>
    </row>
    <row r="5" spans="2:4" ht="23.5" x14ac:dyDescent="0.55000000000000004">
      <c r="B5" s="10" t="s">
        <v>40</v>
      </c>
    </row>
    <row r="6" spans="2:4" ht="23.5" x14ac:dyDescent="0.55000000000000004">
      <c r="B6" s="5"/>
    </row>
    <row r="7" spans="2:4" ht="26" x14ac:dyDescent="0.6">
      <c r="B7" s="6" t="s">
        <v>0</v>
      </c>
      <c r="C7" s="6" t="s">
        <v>1</v>
      </c>
      <c r="D7" s="6" t="s">
        <v>2</v>
      </c>
    </row>
    <row r="8" spans="2:4" ht="33.5" x14ac:dyDescent="0.75">
      <c r="B8" s="7" t="s">
        <v>3</v>
      </c>
      <c r="C8" s="7">
        <v>9</v>
      </c>
      <c r="D8" s="23" t="str">
        <f>IF(C8&gt;=6,"Aprovado(a)","Reprovado(a)")</f>
        <v>Aprovado(a)</v>
      </c>
    </row>
    <row r="9" spans="2:4" ht="33.5" x14ac:dyDescent="0.75">
      <c r="B9" s="7" t="s">
        <v>4</v>
      </c>
      <c r="C9" s="7">
        <v>5</v>
      </c>
      <c r="D9" s="23" t="str">
        <f>IF(C9&gt;=6,"Aprovado(a)","Reprovado(a)")</f>
        <v>Reprovado(a)</v>
      </c>
    </row>
    <row r="10" spans="2:4" ht="33.5" x14ac:dyDescent="0.75">
      <c r="B10" s="7" t="s">
        <v>5</v>
      </c>
      <c r="C10" s="7">
        <v>6</v>
      </c>
      <c r="D10" s="23" t="str">
        <f>IF(C10&gt;=6,"Aprovado(a)","Reprovado(a)")</f>
        <v>Aprovado(a)</v>
      </c>
    </row>
    <row r="11" spans="2:4" ht="33.5" x14ac:dyDescent="0.75">
      <c r="B11" s="7" t="s">
        <v>6</v>
      </c>
      <c r="C11" s="7">
        <v>7</v>
      </c>
      <c r="D11" s="23" t="str">
        <f t="shared" ref="D11:D13" si="0">IF(C11&gt;=6,"Aprovado(a)","Reprovado(a)")</f>
        <v>Aprovado(a)</v>
      </c>
    </row>
    <row r="12" spans="2:4" ht="33.5" x14ac:dyDescent="0.75">
      <c r="B12" s="7" t="s">
        <v>31</v>
      </c>
      <c r="C12" s="7">
        <v>10</v>
      </c>
      <c r="D12" s="23" t="str">
        <f t="shared" si="0"/>
        <v>Aprovado(a)</v>
      </c>
    </row>
    <row r="13" spans="2:4" ht="33.5" x14ac:dyDescent="0.75">
      <c r="B13" s="7" t="s">
        <v>17</v>
      </c>
      <c r="C13" s="7">
        <v>9</v>
      </c>
      <c r="D13" s="23" t="str">
        <f t="shared" si="0"/>
        <v>Aprovado(a)</v>
      </c>
    </row>
    <row r="17" spans="2:3" ht="23.5" x14ac:dyDescent="0.55000000000000004">
      <c r="B17" s="10" t="s">
        <v>133</v>
      </c>
    </row>
    <row r="18" spans="2:3" ht="23.5" x14ac:dyDescent="0.55000000000000004">
      <c r="B18" s="10" t="s">
        <v>42</v>
      </c>
    </row>
    <row r="20" spans="2:3" ht="26" x14ac:dyDescent="0.6">
      <c r="B20" s="6" t="s">
        <v>8</v>
      </c>
      <c r="C20" s="6" t="s">
        <v>2</v>
      </c>
    </row>
    <row r="21" spans="2:3" ht="33.5" x14ac:dyDescent="0.75">
      <c r="B21" s="7" t="s">
        <v>9</v>
      </c>
      <c r="C21" s="23" t="str">
        <f>IF(B21="Laranja","Laranja","Fruta inválida")</f>
        <v>Laranja</v>
      </c>
    </row>
    <row r="22" spans="2:3" ht="33.5" x14ac:dyDescent="0.75">
      <c r="B22" s="7" t="s">
        <v>10</v>
      </c>
      <c r="C22" s="23" t="str">
        <f>IF(B22="Laranja","Laranja","Fruta inválida")</f>
        <v>Fruta inválida</v>
      </c>
    </row>
    <row r="23" spans="2:3" ht="33.5" x14ac:dyDescent="0.75">
      <c r="B23" s="7" t="s">
        <v>9</v>
      </c>
      <c r="C23" s="23" t="str">
        <f>IF(B23="Laranja","Laranja","Fruta inválida")</f>
        <v>Laranja</v>
      </c>
    </row>
    <row r="24" spans="2:3" ht="33.5" x14ac:dyDescent="0.75">
      <c r="B24" s="7" t="s">
        <v>43</v>
      </c>
      <c r="C24" s="23" t="str">
        <f>IF(B24="Laranja","Laranja","Fruta inválida")</f>
        <v>Fruta inválida</v>
      </c>
    </row>
    <row r="28" spans="2:3" ht="23.5" x14ac:dyDescent="0.55000000000000004">
      <c r="B28" s="10" t="s">
        <v>85</v>
      </c>
    </row>
    <row r="29" spans="2:3" ht="23.5" x14ac:dyDescent="0.55000000000000004">
      <c r="B29" s="10" t="s">
        <v>119</v>
      </c>
    </row>
    <row r="32" spans="2:3" ht="26" x14ac:dyDescent="0.6">
      <c r="B32" s="6" t="s">
        <v>70</v>
      </c>
      <c r="C32" s="6" t="s">
        <v>2</v>
      </c>
    </row>
    <row r="33" spans="2:4" ht="33.5" x14ac:dyDescent="0.75">
      <c r="B33" s="16">
        <v>45248</v>
      </c>
      <c r="C33" s="23" t="str">
        <f ca="1">IF(TODAY()&gt;B33,"Vencido","No prazo")</f>
        <v>Vencido</v>
      </c>
      <c r="D33" s="27">
        <f ca="1">TODAY()</f>
        <v>46126</v>
      </c>
    </row>
    <row r="34" spans="2:4" ht="33.5" x14ac:dyDescent="0.75">
      <c r="B34" s="16">
        <v>45261</v>
      </c>
      <c r="C34" s="23" t="str">
        <f t="shared" ref="C34:C39" ca="1" si="1">IF(TODAY()&gt;B34,"Vencido","No prazo")</f>
        <v>Vencido</v>
      </c>
    </row>
    <row r="35" spans="2:4" ht="33.5" x14ac:dyDescent="0.75">
      <c r="B35" s="16">
        <v>44905</v>
      </c>
      <c r="C35" s="23" t="str">
        <f ca="1">IF(TODAY()&gt;B35,"Vencido","No prazo")</f>
        <v>Vencido</v>
      </c>
    </row>
    <row r="36" spans="2:4" ht="33.5" x14ac:dyDescent="0.75">
      <c r="B36" s="16">
        <v>45098</v>
      </c>
      <c r="C36" s="23" t="str">
        <f t="shared" ca="1" si="1"/>
        <v>Vencido</v>
      </c>
    </row>
    <row r="37" spans="2:4" ht="33.5" x14ac:dyDescent="0.75">
      <c r="B37" s="16">
        <v>44710</v>
      </c>
      <c r="C37" s="23" t="str">
        <f t="shared" ca="1" si="1"/>
        <v>Vencido</v>
      </c>
    </row>
    <row r="38" spans="2:4" ht="33.5" x14ac:dyDescent="0.75">
      <c r="B38" s="16">
        <v>46848</v>
      </c>
      <c r="C38" s="23" t="str">
        <f t="shared" ca="1" si="1"/>
        <v>No prazo</v>
      </c>
    </row>
    <row r="39" spans="2:4" ht="33.5" x14ac:dyDescent="0.75">
      <c r="B39" s="16">
        <v>45476</v>
      </c>
      <c r="C39" s="23" t="str">
        <f t="shared" ca="1" si="1"/>
        <v>Vencido</v>
      </c>
    </row>
  </sheetData>
  <phoneticPr fontId="1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2A2E-E5CE-4B9B-90BE-EA5A78D88654}">
  <sheetPr codeName="Planilha2"/>
  <dimension ref="B1:H13"/>
  <sheetViews>
    <sheetView showGridLines="0" zoomScale="97" workbookViewId="0">
      <selection activeCell="B5" sqref="B5"/>
    </sheetView>
  </sheetViews>
  <sheetFormatPr defaultRowHeight="14.5" x14ac:dyDescent="0.35"/>
  <cols>
    <col min="2" max="2" width="39.36328125" style="1" customWidth="1"/>
    <col min="3" max="3" width="23.453125" style="1" customWidth="1"/>
    <col min="4" max="4" width="24.08984375" style="1" customWidth="1"/>
    <col min="5" max="5" width="39.36328125" style="1" customWidth="1"/>
    <col min="7" max="7" width="12.90625" style="1" customWidth="1"/>
    <col min="8" max="8" width="20" customWidth="1"/>
  </cols>
  <sheetData>
    <row r="1" spans="2:8" x14ac:dyDescent="0.35">
      <c r="B1"/>
      <c r="D1"/>
      <c r="G1"/>
    </row>
    <row r="2" spans="2:8" ht="23.5" x14ac:dyDescent="0.55000000000000004">
      <c r="B2" s="10" t="s">
        <v>45</v>
      </c>
      <c r="D2"/>
      <c r="G2"/>
    </row>
    <row r="3" spans="2:8" ht="23.5" x14ac:dyDescent="0.55000000000000004">
      <c r="B3" s="10" t="s">
        <v>46</v>
      </c>
      <c r="D3"/>
      <c r="G3"/>
    </row>
    <row r="4" spans="2:8" ht="23.5" x14ac:dyDescent="0.55000000000000004">
      <c r="B4"/>
      <c r="C4" s="5"/>
      <c r="D4"/>
      <c r="G4"/>
    </row>
    <row r="5" spans="2:8" ht="28.5" x14ac:dyDescent="0.65">
      <c r="B5" s="6" t="s">
        <v>0</v>
      </c>
      <c r="C5" s="6" t="s">
        <v>11</v>
      </c>
      <c r="D5" s="6" t="s">
        <v>12</v>
      </c>
      <c r="E5" s="6" t="s">
        <v>13</v>
      </c>
      <c r="H5" s="2" t="s">
        <v>14</v>
      </c>
    </row>
    <row r="6" spans="2:8" ht="33.5" x14ac:dyDescent="0.75">
      <c r="B6" s="7" t="s">
        <v>15</v>
      </c>
      <c r="C6" s="7" t="s">
        <v>16</v>
      </c>
      <c r="D6" s="11">
        <v>5</v>
      </c>
      <c r="E6" s="24">
        <f>IF(C6="F",D6-$H$6,D6-$H$7)</f>
        <v>2.5</v>
      </c>
      <c r="G6" s="3" t="s">
        <v>16</v>
      </c>
      <c r="H6" s="12">
        <v>2.5</v>
      </c>
    </row>
    <row r="7" spans="2:8" ht="33.5" x14ac:dyDescent="0.75">
      <c r="B7" s="7" t="s">
        <v>17</v>
      </c>
      <c r="C7" s="7" t="s">
        <v>16</v>
      </c>
      <c r="D7" s="11">
        <v>5</v>
      </c>
      <c r="E7" s="24">
        <f t="shared" ref="E7:E13" si="0">IF(C7="F",D7-$H$6,D7-$H$7)</f>
        <v>2.5</v>
      </c>
      <c r="G7" s="3" t="s">
        <v>18</v>
      </c>
      <c r="H7" s="12">
        <v>1</v>
      </c>
    </row>
    <row r="8" spans="2:8" ht="33.5" x14ac:dyDescent="0.75">
      <c r="B8" s="7" t="s">
        <v>19</v>
      </c>
      <c r="C8" s="7" t="s">
        <v>18</v>
      </c>
      <c r="D8" s="11">
        <v>5</v>
      </c>
      <c r="E8" s="24">
        <f t="shared" si="0"/>
        <v>4</v>
      </c>
    </row>
    <row r="9" spans="2:8" ht="33.5" x14ac:dyDescent="0.75">
      <c r="B9" s="7" t="s">
        <v>20</v>
      </c>
      <c r="C9" s="7" t="s">
        <v>18</v>
      </c>
      <c r="D9" s="11">
        <v>5</v>
      </c>
      <c r="E9" s="24">
        <f t="shared" si="0"/>
        <v>4</v>
      </c>
    </row>
    <row r="10" spans="2:8" ht="33.5" x14ac:dyDescent="0.75">
      <c r="B10" s="7" t="s">
        <v>21</v>
      </c>
      <c r="C10" s="7" t="s">
        <v>18</v>
      </c>
      <c r="D10" s="11">
        <v>5</v>
      </c>
      <c r="E10" s="24">
        <f>IF(C10="F",D10-$H$6,D10-$H$7)</f>
        <v>4</v>
      </c>
    </row>
    <row r="11" spans="2:8" ht="33.5" x14ac:dyDescent="0.75">
      <c r="B11" s="7" t="s">
        <v>22</v>
      </c>
      <c r="C11" s="7" t="s">
        <v>16</v>
      </c>
      <c r="D11" s="11">
        <v>5</v>
      </c>
      <c r="E11" s="24">
        <f t="shared" si="0"/>
        <v>2.5</v>
      </c>
    </row>
    <row r="12" spans="2:8" ht="33.5" x14ac:dyDescent="0.75">
      <c r="B12" s="7" t="s">
        <v>23</v>
      </c>
      <c r="C12" s="7" t="s">
        <v>18</v>
      </c>
      <c r="D12" s="11">
        <v>5</v>
      </c>
      <c r="E12" s="24">
        <f t="shared" si="0"/>
        <v>4</v>
      </c>
    </row>
    <row r="13" spans="2:8" ht="33.5" x14ac:dyDescent="0.75">
      <c r="B13" s="7" t="s">
        <v>24</v>
      </c>
      <c r="C13" s="7" t="s">
        <v>16</v>
      </c>
      <c r="D13" s="11">
        <v>5</v>
      </c>
      <c r="E13" s="24">
        <f t="shared" si="0"/>
        <v>2.5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BE5A-48BD-440A-A9F3-22C5FEBC8D5A}">
  <sheetPr codeName="Planilha9"/>
  <dimension ref="B2:C46"/>
  <sheetViews>
    <sheetView showGridLines="0" workbookViewId="0">
      <selection activeCell="B8" sqref="B8"/>
    </sheetView>
  </sheetViews>
  <sheetFormatPr defaultRowHeight="14.5" x14ac:dyDescent="0.35"/>
  <cols>
    <col min="2" max="2" width="37.6328125" style="1" customWidth="1"/>
    <col min="3" max="3" width="37.1796875" style="1" customWidth="1"/>
  </cols>
  <sheetData>
    <row r="2" spans="2:3" ht="23.5" x14ac:dyDescent="0.55000000000000004">
      <c r="B2" s="10" t="s">
        <v>124</v>
      </c>
    </row>
    <row r="3" spans="2:3" ht="23.5" x14ac:dyDescent="0.55000000000000004">
      <c r="B3" s="14" t="s">
        <v>48</v>
      </c>
    </row>
    <row r="4" spans="2:3" ht="23.5" x14ac:dyDescent="0.55000000000000004">
      <c r="B4" s="14" t="s">
        <v>49</v>
      </c>
    </row>
    <row r="5" spans="2:3" ht="23.5" x14ac:dyDescent="0.55000000000000004">
      <c r="B5" s="14" t="s">
        <v>50</v>
      </c>
    </row>
    <row r="6" spans="2:3" ht="23.5" x14ac:dyDescent="0.55000000000000004">
      <c r="B6" s="14" t="s">
        <v>51</v>
      </c>
    </row>
    <row r="7" spans="2:3" ht="23.5" x14ac:dyDescent="0.55000000000000004">
      <c r="B7" s="5"/>
    </row>
    <row r="8" spans="2:3" ht="26" x14ac:dyDescent="0.6">
      <c r="B8" s="6" t="s">
        <v>0</v>
      </c>
      <c r="C8" s="6" t="s">
        <v>2</v>
      </c>
    </row>
    <row r="9" spans="2:3" ht="33.5" x14ac:dyDescent="0.75">
      <c r="B9" s="7" t="s">
        <v>27</v>
      </c>
      <c r="C9" s="23" t="str">
        <f>IF(B9="A","Letra A",
IF(B9="B","Letra B",
IF(B9="C","Letra C","Outra Letra")))</f>
        <v>Letra A</v>
      </c>
    </row>
    <row r="10" spans="2:3" ht="33.5" x14ac:dyDescent="0.75">
      <c r="B10" s="7" t="s">
        <v>28</v>
      </c>
      <c r="C10" s="23" t="str">
        <f>IF(B10="A","Letra A",
IF(B10="B","Letra B",
IF(B10="C","Letra C","Outra Letra")))</f>
        <v>Letra B</v>
      </c>
    </row>
    <row r="11" spans="2:3" ht="33.5" x14ac:dyDescent="0.75">
      <c r="B11" s="7" t="s">
        <v>29</v>
      </c>
      <c r="C11" s="23" t="str">
        <f t="shared" ref="C11:C14" si="0">IF(B11="A","Letra A",
IF(B11="B","Letra B",
IF(B11="C","Letra C","Outra Letra")))</f>
        <v>Letra C</v>
      </c>
    </row>
    <row r="12" spans="2:3" ht="33.5" x14ac:dyDescent="0.75">
      <c r="B12" s="7" t="s">
        <v>28</v>
      </c>
      <c r="C12" s="23" t="str">
        <f t="shared" si="0"/>
        <v>Letra B</v>
      </c>
    </row>
    <row r="13" spans="2:3" ht="33.5" x14ac:dyDescent="0.75">
      <c r="B13" s="7" t="s">
        <v>30</v>
      </c>
      <c r="C13" s="23" t="str">
        <f t="shared" si="0"/>
        <v>Outra Letra</v>
      </c>
    </row>
    <row r="14" spans="2:3" ht="33.5" x14ac:dyDescent="0.75">
      <c r="B14" s="7" t="s">
        <v>29</v>
      </c>
      <c r="C14" s="23" t="str">
        <f t="shared" si="0"/>
        <v>Letra C</v>
      </c>
    </row>
    <row r="17" spans="2:3" ht="33.5" x14ac:dyDescent="0.75">
      <c r="B17" s="15" t="s">
        <v>59</v>
      </c>
    </row>
    <row r="19" spans="2:3" ht="23.5" x14ac:dyDescent="0.55000000000000004">
      <c r="B19" s="10" t="s">
        <v>120</v>
      </c>
    </row>
    <row r="20" spans="2:3" ht="23.5" x14ac:dyDescent="0.55000000000000004">
      <c r="B20" s="14" t="s">
        <v>52</v>
      </c>
    </row>
    <row r="21" spans="2:3" ht="23.5" x14ac:dyDescent="0.55000000000000004">
      <c r="B21" s="14" t="s">
        <v>53</v>
      </c>
    </row>
    <row r="22" spans="2:3" ht="23.5" x14ac:dyDescent="0.55000000000000004">
      <c r="B22" s="14" t="s">
        <v>55</v>
      </c>
    </row>
    <row r="23" spans="2:3" ht="23.5" x14ac:dyDescent="0.55000000000000004">
      <c r="B23" s="14" t="s">
        <v>56</v>
      </c>
    </row>
    <row r="24" spans="2:3" ht="23.5" x14ac:dyDescent="0.55000000000000004">
      <c r="B24" s="14" t="s">
        <v>57</v>
      </c>
    </row>
    <row r="25" spans="2:3" ht="23.5" x14ac:dyDescent="0.55000000000000004">
      <c r="B25" s="14" t="s">
        <v>58</v>
      </c>
    </row>
    <row r="26" spans="2:3" ht="23.5" x14ac:dyDescent="0.55000000000000004">
      <c r="B26" s="14" t="s">
        <v>54</v>
      </c>
    </row>
    <row r="28" spans="2:3" ht="26" x14ac:dyDescent="0.6">
      <c r="B28" s="6" t="s">
        <v>0</v>
      </c>
      <c r="C28" s="6" t="s">
        <v>2</v>
      </c>
    </row>
    <row r="29" spans="2:3" ht="33.5" x14ac:dyDescent="0.75">
      <c r="B29" s="7">
        <v>100</v>
      </c>
      <c r="C29" s="23" t="str">
        <f>IF(B29&gt;100,"Maior que 100",
IF(B29&gt;=80,"Entre 80 e 100",
IF(B29&gt;=60,"Entre 60 e 79",
IF(B29&gt;=40,"Entre 40 e 59",
IF(B29&gt;=20,"Entre 20 e 39",
IF(B29&gt;=0,"Entre 0 e 19","Menor que ZERO"))))))</f>
        <v>Entre 80 e 100</v>
      </c>
    </row>
    <row r="30" spans="2:3" ht="33.5" x14ac:dyDescent="0.75">
      <c r="B30" s="7">
        <v>80</v>
      </c>
      <c r="C30" s="23" t="str">
        <f t="shared" ref="C30:C46" si="1">IF(B30&gt;100,"Maior que 100",
IF(B30&gt;=80,"Entre 80 e 100",
IF(B30&gt;=60,"Entre 60 e 79",
IF(B30&gt;=40,"Entre 40 e 59",
IF(B30&gt;=20,"Entre 20 e 39",
IF(B30&gt;=0,"Entre 0 e 19","Menor que ZERO"))))))</f>
        <v>Entre 80 e 100</v>
      </c>
    </row>
    <row r="31" spans="2:3" ht="33.5" x14ac:dyDescent="0.75">
      <c r="B31" s="7">
        <v>60</v>
      </c>
      <c r="C31" s="23" t="str">
        <f t="shared" si="1"/>
        <v>Entre 60 e 79</v>
      </c>
    </row>
    <row r="32" spans="2:3" ht="33.5" x14ac:dyDescent="0.75">
      <c r="B32" s="7">
        <v>40</v>
      </c>
      <c r="C32" s="23" t="str">
        <f t="shared" si="1"/>
        <v>Entre 40 e 59</v>
      </c>
    </row>
    <row r="33" spans="2:3" ht="33.5" x14ac:dyDescent="0.75">
      <c r="B33" s="7">
        <v>20</v>
      </c>
      <c r="C33" s="23" t="str">
        <f t="shared" si="1"/>
        <v>Entre 20 e 39</v>
      </c>
    </row>
    <row r="34" spans="2:3" ht="33.5" x14ac:dyDescent="0.75">
      <c r="B34" s="7">
        <v>0</v>
      </c>
      <c r="C34" s="23" t="str">
        <f t="shared" si="1"/>
        <v>Entre 0 e 19</v>
      </c>
    </row>
    <row r="35" spans="2:3" ht="33.5" x14ac:dyDescent="0.75">
      <c r="B35" s="7">
        <v>30</v>
      </c>
      <c r="C35" s="23" t="str">
        <f t="shared" si="1"/>
        <v>Entre 20 e 39</v>
      </c>
    </row>
    <row r="36" spans="2:3" ht="33.5" x14ac:dyDescent="0.75">
      <c r="B36" s="7">
        <v>123</v>
      </c>
      <c r="C36" s="23" t="str">
        <f t="shared" si="1"/>
        <v>Maior que 100</v>
      </c>
    </row>
    <row r="37" spans="2:3" ht="33.5" x14ac:dyDescent="0.75">
      <c r="B37" s="7">
        <v>105</v>
      </c>
      <c r="C37" s="23" t="str">
        <f t="shared" si="1"/>
        <v>Maior que 100</v>
      </c>
    </row>
    <row r="38" spans="2:3" ht="33.5" x14ac:dyDescent="0.75">
      <c r="B38" s="7">
        <v>-3</v>
      </c>
      <c r="C38" s="23" t="str">
        <f t="shared" si="1"/>
        <v>Menor que ZERO</v>
      </c>
    </row>
    <row r="39" spans="2:3" ht="33.5" x14ac:dyDescent="0.75">
      <c r="B39" s="7">
        <v>97</v>
      </c>
      <c r="C39" s="23" t="str">
        <f t="shared" si="1"/>
        <v>Entre 80 e 100</v>
      </c>
    </row>
    <row r="40" spans="2:3" ht="33.5" x14ac:dyDescent="0.75">
      <c r="B40" s="7">
        <v>39</v>
      </c>
      <c r="C40" s="23" t="str">
        <f t="shared" si="1"/>
        <v>Entre 20 e 39</v>
      </c>
    </row>
    <row r="41" spans="2:3" ht="33.5" x14ac:dyDescent="0.75">
      <c r="B41" s="7">
        <v>88</v>
      </c>
      <c r="C41" s="23" t="str">
        <f t="shared" si="1"/>
        <v>Entre 80 e 100</v>
      </c>
    </row>
    <row r="42" spans="2:3" ht="33.5" x14ac:dyDescent="0.75">
      <c r="B42" s="7">
        <v>113</v>
      </c>
      <c r="C42" s="23" t="str">
        <f t="shared" si="1"/>
        <v>Maior que 100</v>
      </c>
    </row>
    <row r="43" spans="2:3" ht="33.5" x14ac:dyDescent="0.75">
      <c r="B43" s="7">
        <v>24</v>
      </c>
      <c r="C43" s="23" t="str">
        <f t="shared" si="1"/>
        <v>Entre 20 e 39</v>
      </c>
    </row>
    <row r="44" spans="2:3" ht="33.5" x14ac:dyDescent="0.75">
      <c r="B44" s="7">
        <v>41</v>
      </c>
      <c r="C44" s="23" t="str">
        <f t="shared" si="1"/>
        <v>Entre 40 e 59</v>
      </c>
    </row>
    <row r="45" spans="2:3" ht="33.5" x14ac:dyDescent="0.75">
      <c r="B45" s="7">
        <v>99</v>
      </c>
      <c r="C45" s="23" t="str">
        <f t="shared" si="1"/>
        <v>Entre 80 e 100</v>
      </c>
    </row>
    <row r="46" spans="2:3" ht="33.5" x14ac:dyDescent="0.75">
      <c r="B46" s="7">
        <v>104</v>
      </c>
      <c r="C46" s="23" t="str">
        <f t="shared" si="1"/>
        <v>Maior que 100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BD86-CCC5-4DE7-83B7-340357178911}">
  <dimension ref="B2:E41"/>
  <sheetViews>
    <sheetView showGridLines="0" workbookViewId="0">
      <selection activeCell="B6" sqref="B6"/>
    </sheetView>
  </sheetViews>
  <sheetFormatPr defaultRowHeight="14.5" x14ac:dyDescent="0.35"/>
  <cols>
    <col min="2" max="2" width="48.90625" style="1" customWidth="1"/>
    <col min="3" max="3" width="40.1796875" style="1" customWidth="1"/>
    <col min="4" max="4" width="54.90625" customWidth="1"/>
    <col min="5" max="5" width="57.54296875" customWidth="1"/>
  </cols>
  <sheetData>
    <row r="2" spans="2:4" ht="31" x14ac:dyDescent="0.7">
      <c r="B2" s="4" t="s">
        <v>59</v>
      </c>
    </row>
    <row r="3" spans="2:4" ht="31" x14ac:dyDescent="0.7">
      <c r="B3" s="4"/>
    </row>
    <row r="4" spans="2:4" ht="23.5" x14ac:dyDescent="0.55000000000000004">
      <c r="B4" s="10" t="s">
        <v>125</v>
      </c>
    </row>
    <row r="5" spans="2:4" ht="23.5" x14ac:dyDescent="0.55000000000000004">
      <c r="B5" s="5"/>
    </row>
    <row r="6" spans="2:4" ht="26" x14ac:dyDescent="0.6">
      <c r="B6" s="6" t="s">
        <v>0</v>
      </c>
      <c r="C6" s="6" t="s">
        <v>2</v>
      </c>
    </row>
    <row r="7" spans="2:4" ht="33.5" x14ac:dyDescent="0.75">
      <c r="B7" s="7" t="s">
        <v>60</v>
      </c>
      <c r="C7" s="23" t="str">
        <f>IF(LOWER(B7)="maça","É maça","Outra Fruta")</f>
        <v>É maça</v>
      </c>
      <c r="D7" s="28" t="str">
        <f>LOWER(B7)</f>
        <v>maça</v>
      </c>
    </row>
    <row r="8" spans="2:4" ht="33.5" x14ac:dyDescent="0.75">
      <c r="B8" s="7" t="s">
        <v>61</v>
      </c>
      <c r="C8" s="23" t="str">
        <f>IF(LOWER(B8)="maça","É maça","Outra Fruta")</f>
        <v>É maça</v>
      </c>
      <c r="D8" s="28" t="str">
        <f t="shared" ref="D8:D12" si="0">LOWER(B8)</f>
        <v>maça</v>
      </c>
    </row>
    <row r="9" spans="2:4" ht="33.5" x14ac:dyDescent="0.75">
      <c r="B9" s="7" t="s">
        <v>62</v>
      </c>
      <c r="C9" s="23" t="str">
        <f>IF(LOWER(B9)="maça","É maça","Outra Fruta")</f>
        <v>É maça</v>
      </c>
      <c r="D9" s="28" t="str">
        <f t="shared" si="0"/>
        <v>maça</v>
      </c>
    </row>
    <row r="10" spans="2:4" ht="33.5" x14ac:dyDescent="0.75">
      <c r="B10" s="7" t="s">
        <v>63</v>
      </c>
      <c r="C10" s="23" t="str">
        <f t="shared" ref="C10:C12" si="1">IF(LOWER(B10)="maça","É maça","Outra Fruta")</f>
        <v>Outra Fruta</v>
      </c>
      <c r="D10" s="28" t="str">
        <f t="shared" si="0"/>
        <v>.</v>
      </c>
    </row>
    <row r="11" spans="2:4" ht="33.5" x14ac:dyDescent="0.75">
      <c r="B11" s="7" t="s">
        <v>126</v>
      </c>
      <c r="C11" s="23" t="str">
        <f>IF(LOWER(B11)="maça","É maça","Outra Fruta")</f>
        <v>É maça</v>
      </c>
      <c r="D11" s="28" t="str">
        <f>LOWER(B11)</f>
        <v>maça</v>
      </c>
    </row>
    <row r="12" spans="2:4" ht="33.5" x14ac:dyDescent="0.75">
      <c r="B12" s="7" t="s">
        <v>29</v>
      </c>
      <c r="C12" s="23" t="str">
        <f t="shared" si="1"/>
        <v>Outra Fruta</v>
      </c>
      <c r="D12" s="28" t="str">
        <f t="shared" si="0"/>
        <v>c</v>
      </c>
    </row>
    <row r="15" spans="2:4" ht="31" x14ac:dyDescent="0.7">
      <c r="B15" s="4" t="s">
        <v>59</v>
      </c>
    </row>
    <row r="16" spans="2:4" ht="31" x14ac:dyDescent="0.7">
      <c r="B16" s="4"/>
    </row>
    <row r="17" spans="2:5" ht="23.5" x14ac:dyDescent="0.55000000000000004">
      <c r="B17" s="10" t="s">
        <v>122</v>
      </c>
    </row>
    <row r="18" spans="2:5" ht="23.5" x14ac:dyDescent="0.55000000000000004">
      <c r="B18" s="10" t="s">
        <v>87</v>
      </c>
    </row>
    <row r="20" spans="2:5" ht="26" x14ac:dyDescent="0.6">
      <c r="B20" s="6" t="s">
        <v>0</v>
      </c>
      <c r="C20" s="6" t="s">
        <v>2</v>
      </c>
    </row>
    <row r="21" spans="2:5" ht="33.5" x14ac:dyDescent="0.75">
      <c r="B21" s="7" t="s">
        <v>60</v>
      </c>
      <c r="C21" s="23" t="str">
        <f>IF(ISNUMBER(SEARCH("maça",LOWER(B21))),"Tem Maça","Outra Fruta")</f>
        <v>Tem Maça</v>
      </c>
      <c r="D21" s="28">
        <f>SEARCH("maça",LOWER(B21))</f>
        <v>1</v>
      </c>
      <c r="E21" s="28" t="b">
        <f>ISNUMBER(SEARCH("maça",LOWER(B21)))</f>
        <v>1</v>
      </c>
    </row>
    <row r="22" spans="2:5" ht="33.5" x14ac:dyDescent="0.75">
      <c r="B22" s="7" t="s">
        <v>64</v>
      </c>
      <c r="C22" s="23" t="str">
        <f t="shared" ref="C22:C27" si="2">IF(ISNUMBER(SEARCH("maça",LOWER(B22))),"Tem Maça","Outra Fruta")</f>
        <v>Tem Maça</v>
      </c>
      <c r="D22" s="28">
        <f>SEARCH("maça",LOWER(B22))</f>
        <v>22</v>
      </c>
      <c r="E22" s="28" t="b">
        <f t="shared" ref="E22:E27" si="3">ISNUMBER(SEARCH("maça",LOWER(B22)))</f>
        <v>1</v>
      </c>
    </row>
    <row r="23" spans="2:5" ht="33.5" x14ac:dyDescent="0.75">
      <c r="B23" s="7" t="s">
        <v>65</v>
      </c>
      <c r="C23" s="23" t="str">
        <f t="shared" si="2"/>
        <v>Outra Fruta</v>
      </c>
      <c r="D23" s="28" t="e">
        <f t="shared" ref="D23:D27" si="4">SEARCH("maça",LOWER(B23))</f>
        <v>#VALUE!</v>
      </c>
      <c r="E23" s="28" t="b">
        <f t="shared" si="3"/>
        <v>0</v>
      </c>
    </row>
    <row r="24" spans="2:5" ht="33.5" x14ac:dyDescent="0.75">
      <c r="B24" s="7" t="s">
        <v>127</v>
      </c>
      <c r="C24" s="23" t="str">
        <f t="shared" si="2"/>
        <v>Tem Maça</v>
      </c>
      <c r="D24" s="28">
        <f>SEARCH("maça",LOWER(B24))</f>
        <v>15</v>
      </c>
      <c r="E24" s="28" t="b">
        <f t="shared" si="3"/>
        <v>1</v>
      </c>
    </row>
    <row r="25" spans="2:5" ht="33.5" x14ac:dyDescent="0.75">
      <c r="B25" s="7" t="s">
        <v>128</v>
      </c>
      <c r="C25" s="23" t="str">
        <f t="shared" si="2"/>
        <v>Outra Fruta</v>
      </c>
      <c r="D25" s="28" t="e">
        <f t="shared" si="4"/>
        <v>#VALUE!</v>
      </c>
      <c r="E25" s="28" t="b">
        <f t="shared" si="3"/>
        <v>0</v>
      </c>
    </row>
    <row r="26" spans="2:5" ht="33.5" x14ac:dyDescent="0.75">
      <c r="B26" s="7" t="s">
        <v>68</v>
      </c>
      <c r="C26" s="23" t="str">
        <f t="shared" si="2"/>
        <v>Tem Maça</v>
      </c>
      <c r="D26" s="28">
        <f t="shared" si="4"/>
        <v>20</v>
      </c>
      <c r="E26" s="28" t="b">
        <f t="shared" si="3"/>
        <v>1</v>
      </c>
    </row>
    <row r="27" spans="2:5" ht="33.5" x14ac:dyDescent="0.75">
      <c r="B27" s="7" t="s">
        <v>69</v>
      </c>
      <c r="C27" s="23" t="str">
        <f t="shared" si="2"/>
        <v>Outra Fruta</v>
      </c>
      <c r="D27" s="28" t="e">
        <f t="shared" si="4"/>
        <v>#VALUE!</v>
      </c>
      <c r="E27" s="28" t="b">
        <f t="shared" si="3"/>
        <v>0</v>
      </c>
    </row>
    <row r="30" spans="2:5" ht="23.5" x14ac:dyDescent="0.55000000000000004">
      <c r="B30" s="10" t="s">
        <v>121</v>
      </c>
    </row>
    <row r="31" spans="2:5" ht="23.5" x14ac:dyDescent="0.55000000000000004">
      <c r="B31" s="10" t="s">
        <v>88</v>
      </c>
    </row>
    <row r="34" spans="2:5" ht="26" x14ac:dyDescent="0.6">
      <c r="B34" s="6" t="s">
        <v>0</v>
      </c>
      <c r="C34" s="6" t="s">
        <v>71</v>
      </c>
      <c r="D34" s="6" t="s">
        <v>71</v>
      </c>
      <c r="E34" s="6" t="s">
        <v>71</v>
      </c>
    </row>
    <row r="35" spans="2:5" ht="33.5" x14ac:dyDescent="0.75">
      <c r="B35" s="16">
        <v>44957</v>
      </c>
      <c r="C35" s="23">
        <f>WEEKDAY(B35)</f>
        <v>3</v>
      </c>
      <c r="D35" s="23" t="str">
        <f>IF(C35=1,"Domingo não pode vender",
IF(C35=2,"Segunda-feira, boas vendas!",
IF(C35=3,"Terça-feira, boas vendas!",
IF(C35=4,"Quarta-feira, boas vendas!",
IF(C35=5,"Quinta-feira, boas vendas!",
IF(C35=6,"Sexta-feira, boas vendas!",
IF(C35=7,"Sábado não pode vender","-")))))))</f>
        <v>Terça-feira, boas vendas!</v>
      </c>
      <c r="E35" s="23" t="str">
        <f>IF(WEEKDAY(B35)=1,"Domingo não pode vender",
IF(WEEKDAY(B35)=2,"Segunda-feira, boas vendas!",
IF(WEEKDAY(B35)=3,"Terça-feira, boas vendas!",
IF(WEEKDAY(B35)=4,"Quarta-feira, boas vendas!",
IF(WEEKDAY(B35)=5,"Quinta-feira, boas vendas!",
IF(WEEKDAY(B35)=6,"Sexta-feira, boas vendas!",
IF(WEEKDAY(B35)=7,"Sábado não pode vender","-")))))))</f>
        <v>Terça-feira, boas vendas!</v>
      </c>
    </row>
    <row r="36" spans="2:5" ht="33.5" x14ac:dyDescent="0.75">
      <c r="B36" s="16">
        <v>44940</v>
      </c>
      <c r="C36" s="23">
        <f t="shared" ref="C36:C41" si="5">WEEKDAY(B36)</f>
        <v>7</v>
      </c>
      <c r="D36" s="23" t="str">
        <f t="shared" ref="D36:D41" si="6">IF(C36=1,"Domingo não pode vender",
IF(C36=2,"Segunda-feira, boas vendas!",
IF(C36=3,"Terça-feira, boas vendas!",
IF(C36=4,"Quarta-feira, boas vendas!",
IF(C36=5,"Quinta-feira, boas vendas!",
IF(C36=6,"Sexta-feira, boas vendas!",
IF(C36=7,"Sábado não pode vender","-")))))))</f>
        <v>Sábado não pode vender</v>
      </c>
      <c r="E36" s="23" t="str">
        <f t="shared" ref="E36:E41" si="7">IF(WEEKDAY(B36)=1,"Domingo não pode vender",
IF(WEEKDAY(B36)=2,"Segunda-feira, boas vendas!",
IF(WEEKDAY(B36)=3,"Terça-feira, boas vendas!",
IF(WEEKDAY(B36)=4,"Quarta-feira, boas vendas!",
IF(WEEKDAY(B36)=5,"Quinta-feira, boas vendas!",
IF(WEEKDAY(B36)=6,"Sexta-feira, boas vendas!",
IF(WEEKDAY(B36)=7,"Sábado não pode vender","-")))))))</f>
        <v>Sábado não pode vender</v>
      </c>
    </row>
    <row r="37" spans="2:5" ht="33.5" x14ac:dyDescent="0.75">
      <c r="B37" s="16">
        <v>44930</v>
      </c>
      <c r="C37" s="23">
        <f t="shared" si="5"/>
        <v>4</v>
      </c>
      <c r="D37" s="23" t="str">
        <f>IF(C37=1,"Domingo não pode vender",
IF(C37=2,"Segunda-feira, boas vendas!",
IF(C37=3,"Terça-feira, boas vendas!",
IF(C37=4,"Quarta-feira, boas vendas!",
IF(C37=5,"Quinta-feira, boas vendas!",
IF(C37=6,"Sexta-feira, boas vendas!",
IF(C37=7,"Sábado não pode vender","-")))))))</f>
        <v>Quarta-feira, boas vendas!</v>
      </c>
      <c r="E37" s="23" t="str">
        <f t="shared" si="7"/>
        <v>Quarta-feira, boas vendas!</v>
      </c>
    </row>
    <row r="38" spans="2:5" ht="33.5" x14ac:dyDescent="0.75">
      <c r="B38" s="16">
        <v>44944</v>
      </c>
      <c r="C38" s="23">
        <f t="shared" si="5"/>
        <v>4</v>
      </c>
      <c r="D38" s="23" t="str">
        <f t="shared" si="6"/>
        <v>Quarta-feira, boas vendas!</v>
      </c>
      <c r="E38" s="23" t="str">
        <f t="shared" si="7"/>
        <v>Quarta-feira, boas vendas!</v>
      </c>
    </row>
    <row r="39" spans="2:5" ht="33.5" x14ac:dyDescent="0.75">
      <c r="B39" s="16">
        <v>44935</v>
      </c>
      <c r="C39" s="23">
        <f t="shared" si="5"/>
        <v>2</v>
      </c>
      <c r="D39" s="23" t="str">
        <f t="shared" si="6"/>
        <v>Segunda-feira, boas vendas!</v>
      </c>
      <c r="E39" s="23" t="str">
        <f>IF(WEEKDAY(B39)=1,"Domingo não pode vender",
IF(WEEKDAY(B39)=2,"Segunda-feira, boas vendas!",
IF(WEEKDAY(B39)=3,"Terça-feira, boas vendas!",
IF(WEEKDAY(B39)=4,"Quarta-feira, boas vendas!",
IF(WEEKDAY(B39)=5,"Quinta-feira, boas vendas!",
IF(WEEKDAY(B39)=6,"Sexta-feira, boas vendas!",
IF(WEEKDAY(B39)=7,"Sábado não pode vender","-")))))))</f>
        <v>Segunda-feira, boas vendas!</v>
      </c>
    </row>
    <row r="40" spans="2:5" ht="33.5" x14ac:dyDescent="0.75">
      <c r="B40" s="16">
        <v>44946</v>
      </c>
      <c r="C40" s="23">
        <f t="shared" si="5"/>
        <v>6</v>
      </c>
      <c r="D40" s="23" t="str">
        <f t="shared" si="6"/>
        <v>Sexta-feira, boas vendas!</v>
      </c>
      <c r="E40" s="23" t="str">
        <f t="shared" si="7"/>
        <v>Sexta-feira, boas vendas!</v>
      </c>
    </row>
    <row r="41" spans="2:5" ht="33.5" x14ac:dyDescent="0.75">
      <c r="B41" s="16">
        <v>44927</v>
      </c>
      <c r="C41" s="23">
        <f t="shared" si="5"/>
        <v>1</v>
      </c>
      <c r="D41" s="23" t="str">
        <f t="shared" si="6"/>
        <v>Domingo não pode vender</v>
      </c>
      <c r="E41" s="23" t="str">
        <f t="shared" si="7"/>
        <v>Domingo não pode vender</v>
      </c>
    </row>
  </sheetData>
  <phoneticPr fontId="1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78D5-8BA5-4F84-8C32-4E8254918083}">
  <sheetPr codeName="Planilha4"/>
  <dimension ref="B2:J79"/>
  <sheetViews>
    <sheetView showGridLines="0" zoomScaleNormal="100" workbookViewId="0">
      <selection activeCell="B5" sqref="B5"/>
    </sheetView>
  </sheetViews>
  <sheetFormatPr defaultRowHeight="14.5" x14ac:dyDescent="0.35"/>
  <cols>
    <col min="2" max="3" width="27.36328125" style="1" customWidth="1"/>
    <col min="4" max="4" width="49.81640625" style="1" customWidth="1"/>
    <col min="5" max="5" width="47.54296875" customWidth="1"/>
    <col min="6" max="6" width="27.36328125" style="1" customWidth="1"/>
    <col min="7" max="7" width="30.08984375" customWidth="1"/>
    <col min="8" max="8" width="25.1796875" customWidth="1"/>
  </cols>
  <sheetData>
    <row r="2" spans="2:7" ht="23.5" x14ac:dyDescent="0.55000000000000004">
      <c r="B2" s="10" t="s">
        <v>90</v>
      </c>
      <c r="F2"/>
    </row>
    <row r="3" spans="2:7" ht="23.5" x14ac:dyDescent="0.55000000000000004">
      <c r="B3" s="10" t="s">
        <v>89</v>
      </c>
      <c r="F3"/>
    </row>
    <row r="4" spans="2:7" ht="23.5" x14ac:dyDescent="0.55000000000000004">
      <c r="B4"/>
      <c r="C4" s="5"/>
      <c r="F4"/>
    </row>
    <row r="5" spans="2:7" ht="26" x14ac:dyDescent="0.6">
      <c r="B5" s="6" t="s">
        <v>0</v>
      </c>
      <c r="C5" s="6" t="s">
        <v>72</v>
      </c>
      <c r="D5" s="6" t="s">
        <v>2</v>
      </c>
      <c r="F5" s="6" t="s">
        <v>8</v>
      </c>
      <c r="G5" s="6" t="s">
        <v>72</v>
      </c>
    </row>
    <row r="6" spans="2:7" ht="33.5" x14ac:dyDescent="0.75">
      <c r="B6" s="7" t="s">
        <v>10</v>
      </c>
      <c r="C6" s="17">
        <v>1</v>
      </c>
      <c r="D6" s="23" t="str">
        <f>IF(AND(B6=$F$6,C6=$G$6),"Comprar Banana dia 5","Não comprar")</f>
        <v>Não comprar</v>
      </c>
      <c r="F6" s="7" t="s">
        <v>10</v>
      </c>
      <c r="G6" s="7">
        <v>5</v>
      </c>
    </row>
    <row r="7" spans="2:7" ht="33.5" x14ac:dyDescent="0.75">
      <c r="B7" s="7" t="s">
        <v>9</v>
      </c>
      <c r="C7" s="17">
        <v>10</v>
      </c>
      <c r="D7" s="23" t="str">
        <f t="shared" ref="D7:D11" si="0">IF(AND(B7=$F$6,C7=$G$6),"Comprar Banana dia 5","Não comprar")</f>
        <v>Não comprar</v>
      </c>
    </row>
    <row r="8" spans="2:7" ht="33.5" x14ac:dyDescent="0.75">
      <c r="B8" s="7" t="s">
        <v>26</v>
      </c>
      <c r="C8" s="17">
        <v>15</v>
      </c>
      <c r="D8" s="23" t="str">
        <f t="shared" si="0"/>
        <v>Não comprar</v>
      </c>
    </row>
    <row r="9" spans="2:7" ht="33.5" x14ac:dyDescent="0.75">
      <c r="B9" s="7" t="s">
        <v>60</v>
      </c>
      <c r="C9" s="17">
        <v>9</v>
      </c>
      <c r="D9" s="23" t="str">
        <f>IF(AND(B9=$F$6,C9=$G$6),"Comprar Banana dia 5","Não comprar")</f>
        <v>Não comprar</v>
      </c>
    </row>
    <row r="10" spans="2:7" ht="33.5" x14ac:dyDescent="0.75">
      <c r="B10" s="7" t="s">
        <v>10</v>
      </c>
      <c r="C10" s="17">
        <v>5</v>
      </c>
      <c r="D10" s="23" t="str">
        <f>IF(AND(B10=$F$6,C10=$G$6),"Comprar Banana dia 5","Não comprar")</f>
        <v>Comprar Banana dia 5</v>
      </c>
    </row>
    <row r="11" spans="2:7" ht="33.5" x14ac:dyDescent="0.75">
      <c r="B11" s="7" t="s">
        <v>10</v>
      </c>
      <c r="C11" s="17">
        <v>9</v>
      </c>
      <c r="D11" s="23" t="str">
        <f t="shared" si="0"/>
        <v>Não comprar</v>
      </c>
    </row>
    <row r="14" spans="2:7" ht="23.5" x14ac:dyDescent="0.55000000000000004">
      <c r="B14" s="10" t="s">
        <v>91</v>
      </c>
      <c r="F14"/>
    </row>
    <row r="15" spans="2:7" ht="23.5" x14ac:dyDescent="0.55000000000000004">
      <c r="B15" s="10" t="s">
        <v>92</v>
      </c>
      <c r="F15"/>
    </row>
    <row r="18" spans="2:7" ht="26" x14ac:dyDescent="0.6">
      <c r="B18" s="6" t="s">
        <v>0</v>
      </c>
      <c r="C18" s="6" t="s">
        <v>72</v>
      </c>
      <c r="D18" s="6" t="s">
        <v>2</v>
      </c>
      <c r="F18" s="6" t="s">
        <v>8</v>
      </c>
      <c r="G18" s="6" t="s">
        <v>72</v>
      </c>
    </row>
    <row r="19" spans="2:7" ht="33.5" x14ac:dyDescent="0.75">
      <c r="B19" s="7" t="s">
        <v>60</v>
      </c>
      <c r="C19" s="17">
        <v>6</v>
      </c>
      <c r="D19" s="23" t="str">
        <f>IF(AND(B19=$F$19,C19=$G$19),"Comprar Babana dia 5",
IF(AND(B19=$F$20,C19=$G$20),"Comprar Maça dia 6","Não Comprar"))</f>
        <v>Comprar Maça dia 6</v>
      </c>
      <c r="F19" s="7" t="s">
        <v>10</v>
      </c>
      <c r="G19" s="7">
        <v>5</v>
      </c>
    </row>
    <row r="20" spans="2:7" ht="33.5" x14ac:dyDescent="0.75">
      <c r="B20" s="7" t="s">
        <v>9</v>
      </c>
      <c r="C20" s="17">
        <v>10</v>
      </c>
      <c r="D20" s="23" t="str">
        <f t="shared" ref="D20:D24" si="1">IF(AND(B20=$F$19,C20=$G$19),"Comprar Babana dia 5",
IF(AND(B20=$F$20,C20=$G$20),"Comprar Maça dia 6","Não Comprar"))</f>
        <v>Não Comprar</v>
      </c>
      <c r="F20" s="7" t="s">
        <v>60</v>
      </c>
      <c r="G20" s="7">
        <v>6</v>
      </c>
    </row>
    <row r="21" spans="2:7" ht="33.5" x14ac:dyDescent="0.75">
      <c r="B21" s="7" t="s">
        <v>60</v>
      </c>
      <c r="C21" s="17">
        <v>4</v>
      </c>
      <c r="D21" s="23" t="str">
        <f t="shared" si="1"/>
        <v>Não Comprar</v>
      </c>
    </row>
    <row r="22" spans="2:7" ht="33.5" x14ac:dyDescent="0.75">
      <c r="B22" s="7" t="s">
        <v>60</v>
      </c>
      <c r="C22" s="17">
        <v>9</v>
      </c>
      <c r="D22" s="23" t="str">
        <f t="shared" si="1"/>
        <v>Não Comprar</v>
      </c>
    </row>
    <row r="23" spans="2:7" ht="33.5" x14ac:dyDescent="0.75">
      <c r="B23" s="7" t="s">
        <v>10</v>
      </c>
      <c r="C23" s="17">
        <v>5</v>
      </c>
      <c r="D23" s="23" t="str">
        <f t="shared" si="1"/>
        <v>Comprar Babana dia 5</v>
      </c>
    </row>
    <row r="24" spans="2:7" ht="33.5" x14ac:dyDescent="0.75">
      <c r="B24" s="7" t="s">
        <v>10</v>
      </c>
      <c r="C24" s="17">
        <v>9</v>
      </c>
      <c r="D24" s="23" t="str">
        <f t="shared" si="1"/>
        <v>Não Comprar</v>
      </c>
    </row>
    <row r="27" spans="2:7" ht="28.5" x14ac:dyDescent="0.65">
      <c r="B27" s="18" t="s">
        <v>59</v>
      </c>
    </row>
    <row r="29" spans="2:7" ht="23.5" x14ac:dyDescent="0.55000000000000004">
      <c r="B29" s="10" t="s">
        <v>102</v>
      </c>
      <c r="F29"/>
    </row>
    <row r="30" spans="2:7" ht="23.5" x14ac:dyDescent="0.55000000000000004">
      <c r="B30" s="10" t="s">
        <v>103</v>
      </c>
      <c r="F30"/>
    </row>
    <row r="31" spans="2:7" ht="23.5" x14ac:dyDescent="0.55000000000000004">
      <c r="B31" s="10" t="s">
        <v>104</v>
      </c>
      <c r="F31"/>
    </row>
    <row r="34" spans="2:10" ht="26" x14ac:dyDescent="0.6">
      <c r="B34" s="6" t="s">
        <v>0</v>
      </c>
      <c r="C34" s="6" t="s">
        <v>70</v>
      </c>
      <c r="D34" s="6" t="s">
        <v>73</v>
      </c>
      <c r="E34" s="6" t="s">
        <v>74</v>
      </c>
      <c r="F34"/>
      <c r="G34" s="19">
        <v>44942</v>
      </c>
    </row>
    <row r="35" spans="2:10" ht="33.5" x14ac:dyDescent="0.75">
      <c r="B35" s="7" t="s">
        <v>60</v>
      </c>
      <c r="C35" s="19">
        <v>44936</v>
      </c>
      <c r="D35" s="23" t="str">
        <f>IF(AND(C35&gt;=$G$34,C35&lt;=$G$35),"Está","Não Está")</f>
        <v>Não Está</v>
      </c>
      <c r="E35" s="25" t="str">
        <f>IF(AND(B35="Banana",C35&gt;=$G$34,C35&lt;=$G$35),"Comprar Banana entre 16/01 e 28/01","Não comprar")</f>
        <v>Não comprar</v>
      </c>
      <c r="F35"/>
      <c r="G35" s="19">
        <v>44954</v>
      </c>
    </row>
    <row r="36" spans="2:10" ht="33.5" x14ac:dyDescent="0.75">
      <c r="B36" s="7" t="s">
        <v>10</v>
      </c>
      <c r="C36" s="19">
        <v>44942</v>
      </c>
      <c r="D36" s="23" t="str">
        <f t="shared" ref="D36:D40" si="2">IF(AND(C36&gt;=$G$34,C36&lt;=$G$35),"Está","Não Está")</f>
        <v>Está</v>
      </c>
      <c r="E36" s="25" t="str">
        <f t="shared" ref="E36:E40" si="3">IF(AND(B36="Banana",C36&gt;=$G$34,C36&lt;=$G$35),"Comprar Banana entre 16/01 e 28/01","Não comprar")</f>
        <v>Comprar Banana entre 16/01 e 28/01</v>
      </c>
      <c r="F36"/>
      <c r="J36" s="1"/>
    </row>
    <row r="37" spans="2:10" ht="33.5" x14ac:dyDescent="0.75">
      <c r="B37" s="7" t="s">
        <v>10</v>
      </c>
      <c r="C37" s="19">
        <v>44930</v>
      </c>
      <c r="D37" s="23" t="str">
        <f t="shared" si="2"/>
        <v>Não Está</v>
      </c>
      <c r="E37" s="25" t="str">
        <f t="shared" si="3"/>
        <v>Não comprar</v>
      </c>
      <c r="F37"/>
      <c r="G37" s="1"/>
    </row>
    <row r="38" spans="2:10" ht="33.5" x14ac:dyDescent="0.75">
      <c r="B38" s="7" t="s">
        <v>26</v>
      </c>
      <c r="C38" s="19">
        <v>44946</v>
      </c>
      <c r="D38" s="23" t="str">
        <f>IF(AND(C38&gt;=$G$34,C38&lt;=$G$35),"Está","Não Está")</f>
        <v>Está</v>
      </c>
      <c r="E38" s="25" t="str">
        <f t="shared" si="3"/>
        <v>Não comprar</v>
      </c>
      <c r="F38"/>
      <c r="G38" s="1"/>
    </row>
    <row r="39" spans="2:10" ht="33.5" x14ac:dyDescent="0.75">
      <c r="B39" s="7" t="s">
        <v>10</v>
      </c>
      <c r="C39" s="19">
        <v>44929</v>
      </c>
      <c r="D39" s="23" t="str">
        <f t="shared" si="2"/>
        <v>Não Está</v>
      </c>
      <c r="E39" s="25" t="str">
        <f t="shared" si="3"/>
        <v>Não comprar</v>
      </c>
      <c r="F39"/>
      <c r="G39" s="1"/>
    </row>
    <row r="40" spans="2:10" ht="33.5" x14ac:dyDescent="0.75">
      <c r="B40" s="7" t="s">
        <v>10</v>
      </c>
      <c r="C40" s="19">
        <v>44949</v>
      </c>
      <c r="D40" s="23" t="str">
        <f t="shared" si="2"/>
        <v>Está</v>
      </c>
      <c r="E40" s="25" t="str">
        <f t="shared" si="3"/>
        <v>Comprar Banana entre 16/01 e 28/01</v>
      </c>
      <c r="F40"/>
      <c r="G40" s="1"/>
    </row>
    <row r="44" spans="2:10" ht="28.5" x14ac:dyDescent="0.65">
      <c r="B44" s="18" t="s">
        <v>59</v>
      </c>
    </row>
    <row r="46" spans="2:10" ht="23.5" x14ac:dyDescent="0.55000000000000004">
      <c r="B46" s="10" t="s">
        <v>105</v>
      </c>
      <c r="F46"/>
    </row>
    <row r="47" spans="2:10" ht="23.5" x14ac:dyDescent="0.55000000000000004">
      <c r="B47" s="10" t="s">
        <v>106</v>
      </c>
      <c r="F47"/>
    </row>
    <row r="50" spans="2:7" ht="28.5" x14ac:dyDescent="0.65">
      <c r="C50" s="2" t="s">
        <v>32</v>
      </c>
      <c r="D50" s="2" t="s">
        <v>33</v>
      </c>
      <c r="F50"/>
    </row>
    <row r="51" spans="2:7" ht="23.5" x14ac:dyDescent="0.55000000000000004">
      <c r="C51" s="9" t="s">
        <v>34</v>
      </c>
      <c r="D51" s="9" t="s">
        <v>36</v>
      </c>
      <c r="F51"/>
    </row>
    <row r="52" spans="2:7" ht="23.5" x14ac:dyDescent="0.55000000000000004">
      <c r="C52" s="9" t="s">
        <v>35</v>
      </c>
      <c r="D52" s="9" t="s">
        <v>37</v>
      </c>
      <c r="F52"/>
    </row>
    <row r="53" spans="2:7" ht="23.5" x14ac:dyDescent="0.55000000000000004">
      <c r="C53" s="9" t="s">
        <v>38</v>
      </c>
      <c r="D53" s="9" t="s">
        <v>39</v>
      </c>
      <c r="F53"/>
    </row>
    <row r="54" spans="2:7" x14ac:dyDescent="0.35">
      <c r="C54"/>
      <c r="F54"/>
    </row>
    <row r="55" spans="2:7" ht="28.5" x14ac:dyDescent="0.65">
      <c r="B55" s="6" t="s">
        <v>0</v>
      </c>
      <c r="C55" s="6" t="s">
        <v>1</v>
      </c>
      <c r="D55" s="2" t="s">
        <v>36</v>
      </c>
      <c r="E55" s="2" t="s">
        <v>37</v>
      </c>
      <c r="F55" s="2" t="s">
        <v>39</v>
      </c>
      <c r="G55" s="2" t="s">
        <v>2</v>
      </c>
    </row>
    <row r="56" spans="2:7" ht="33.5" x14ac:dyDescent="0.75">
      <c r="B56" s="7" t="s">
        <v>3</v>
      </c>
      <c r="C56" s="7">
        <v>9</v>
      </c>
      <c r="D56" s="23" t="str">
        <f>IF(AND(C56&gt;=6,C56&lt;=10),"Aprovado(a)","-")</f>
        <v>Aprovado(a)</v>
      </c>
      <c r="E56" s="23" t="str">
        <f>IF(AND(C56&gt;=2,C56&lt;6),"Recuperação","-")</f>
        <v>-</v>
      </c>
      <c r="F56" s="23" t="str">
        <f>IF(C56&lt;2,"Reprovado(a)","-")</f>
        <v>-</v>
      </c>
      <c r="G56" s="23" t="str">
        <f>IF(AND(C56&gt;=6,C56&lt;=10),"Aprovado(a)",
IF(AND(C56&gt;=2,C56&lt;6),"Recuperação","Reprovado(a)"))</f>
        <v>Aprovado(a)</v>
      </c>
    </row>
    <row r="57" spans="2:7" ht="33.5" x14ac:dyDescent="0.75">
      <c r="B57" s="7" t="s">
        <v>4</v>
      </c>
      <c r="C57" s="7">
        <v>5</v>
      </c>
      <c r="D57" s="23" t="str">
        <f>IF(AND(C57&gt;=6,C57&lt;=10),"Aprovado(a)","-")</f>
        <v>-</v>
      </c>
      <c r="E57" s="23" t="str">
        <f>IF(AND(C57&gt;=2,C57&lt;6),"Recuperação","-")</f>
        <v>Recuperação</v>
      </c>
      <c r="F57" s="23" t="str">
        <f t="shared" ref="F57:F61" si="4">IF(C57&lt;2,"Reprovado(a)","-")</f>
        <v>-</v>
      </c>
      <c r="G57" s="23" t="str">
        <f t="shared" ref="G57:G61" si="5">IF(AND(C57&gt;=6,C57&lt;=10),"Aprovado(a)",
IF(AND(C57&gt;=2,C57&lt;6),"Recuperação","Reprovado(a)"))</f>
        <v>Recuperação</v>
      </c>
    </row>
    <row r="58" spans="2:7" ht="33.5" x14ac:dyDescent="0.75">
      <c r="B58" s="7" t="s">
        <v>5</v>
      </c>
      <c r="C58" s="7">
        <v>5</v>
      </c>
      <c r="D58" s="23" t="str">
        <f t="shared" ref="D58:D61" si="6">IF(AND(C58&gt;=6,C58&lt;=10),"Aprovado(a)","-")</f>
        <v>-</v>
      </c>
      <c r="E58" s="23" t="str">
        <f t="shared" ref="E58:E61" si="7">IF(AND(C58&gt;=2,C58&lt;6),"Recuperação","-")</f>
        <v>Recuperação</v>
      </c>
      <c r="F58" s="23" t="str">
        <f t="shared" si="4"/>
        <v>-</v>
      </c>
      <c r="G58" s="23" t="str">
        <f t="shared" si="5"/>
        <v>Recuperação</v>
      </c>
    </row>
    <row r="59" spans="2:7" ht="33.5" x14ac:dyDescent="0.75">
      <c r="B59" s="7" t="s">
        <v>6</v>
      </c>
      <c r="C59" s="7">
        <v>7</v>
      </c>
      <c r="D59" s="23" t="str">
        <f t="shared" si="6"/>
        <v>Aprovado(a)</v>
      </c>
      <c r="E59" s="23" t="str">
        <f>IF(AND(C59&gt;=2,C59&lt;6),"Recuperação","-")</f>
        <v>-</v>
      </c>
      <c r="F59" s="23" t="str">
        <f t="shared" si="4"/>
        <v>-</v>
      </c>
      <c r="G59" s="23" t="str">
        <f t="shared" si="5"/>
        <v>Aprovado(a)</v>
      </c>
    </row>
    <row r="60" spans="2:7" ht="33.5" x14ac:dyDescent="0.75">
      <c r="B60" s="7" t="s">
        <v>31</v>
      </c>
      <c r="C60" s="7">
        <v>1.5</v>
      </c>
      <c r="D60" s="23" t="str">
        <f t="shared" si="6"/>
        <v>-</v>
      </c>
      <c r="E60" s="23" t="str">
        <f t="shared" si="7"/>
        <v>-</v>
      </c>
      <c r="F60" s="23" t="str">
        <f t="shared" si="4"/>
        <v>Reprovado(a)</v>
      </c>
      <c r="G60" s="23" t="str">
        <f t="shared" si="5"/>
        <v>Reprovado(a)</v>
      </c>
    </row>
    <row r="61" spans="2:7" ht="33.5" x14ac:dyDescent="0.75">
      <c r="B61" s="7" t="s">
        <v>17</v>
      </c>
      <c r="C61" s="7">
        <v>9</v>
      </c>
      <c r="D61" s="23" t="str">
        <f t="shared" si="6"/>
        <v>Aprovado(a)</v>
      </c>
      <c r="E61" s="23" t="str">
        <f t="shared" si="7"/>
        <v>-</v>
      </c>
      <c r="F61" s="23" t="str">
        <f t="shared" si="4"/>
        <v>-</v>
      </c>
      <c r="G61" s="23" t="str">
        <f t="shared" si="5"/>
        <v>Aprovado(a)</v>
      </c>
    </row>
    <row r="65" spans="2:6" ht="31" x14ac:dyDescent="0.7">
      <c r="B65" s="4" t="s">
        <v>59</v>
      </c>
      <c r="D65"/>
      <c r="F65"/>
    </row>
    <row r="66" spans="2:6" ht="31" x14ac:dyDescent="0.7">
      <c r="B66" s="4"/>
      <c r="D66"/>
      <c r="F66"/>
    </row>
    <row r="67" spans="2:6" ht="23.5" x14ac:dyDescent="0.55000000000000004">
      <c r="B67" s="10" t="s">
        <v>129</v>
      </c>
      <c r="D67"/>
      <c r="F67"/>
    </row>
    <row r="68" spans="2:6" ht="23.5" x14ac:dyDescent="0.55000000000000004">
      <c r="B68" s="22" t="s">
        <v>108</v>
      </c>
      <c r="D68"/>
      <c r="F68"/>
    </row>
    <row r="69" spans="2:6" ht="23.5" x14ac:dyDescent="0.55000000000000004">
      <c r="B69" s="22" t="s">
        <v>109</v>
      </c>
      <c r="D69"/>
      <c r="F69"/>
    </row>
    <row r="70" spans="2:6" ht="23.5" x14ac:dyDescent="0.55000000000000004">
      <c r="B70" s="5"/>
      <c r="D70"/>
      <c r="F70"/>
    </row>
    <row r="71" spans="2:6" ht="26" x14ac:dyDescent="0.6">
      <c r="B71" s="6" t="s">
        <v>0</v>
      </c>
      <c r="C71" s="6" t="s">
        <v>99</v>
      </c>
      <c r="D71" s="6" t="s">
        <v>100</v>
      </c>
      <c r="E71" s="6" t="s">
        <v>101</v>
      </c>
      <c r="F71"/>
    </row>
    <row r="72" spans="2:6" ht="33.5" x14ac:dyDescent="0.75">
      <c r="B72" s="7" t="s">
        <v>93</v>
      </c>
      <c r="C72" s="23" t="str">
        <f>LOWER(LEFT(B72,2))</f>
        <v>br</v>
      </c>
      <c r="D72" s="23" t="str">
        <f>RIGHT(LOWER(B72),4)</f>
        <v>maça</v>
      </c>
      <c r="E72" s="23" t="str">
        <f>IF(AND(LOWER(LEFT(B72,2))="br",
RIGHT(LOWER(B72),4)="maça"),"Maça do Brasil","-")</f>
        <v>Maça do Brasil</v>
      </c>
      <c r="F72"/>
    </row>
    <row r="73" spans="2:6" ht="33.5" x14ac:dyDescent="0.75">
      <c r="B73" s="7" t="s">
        <v>94</v>
      </c>
      <c r="C73" s="23" t="str">
        <f t="shared" ref="C73:C77" si="8">LOWER(LEFT(B73,2))</f>
        <v>br</v>
      </c>
      <c r="D73" s="23" t="str">
        <f t="shared" ref="D73:D77" si="9">RIGHT(LOWER(B73),4)</f>
        <v>maça</v>
      </c>
      <c r="E73" s="23" t="str">
        <f t="shared" ref="E73:E77" si="10">IF(AND(LOWER(LEFT(B73,2))="br",
RIGHT(LOWER(B73),4)="maça"),"Maça do Brasil","-")</f>
        <v>Maça do Brasil</v>
      </c>
      <c r="F73"/>
    </row>
    <row r="74" spans="2:6" ht="33.5" x14ac:dyDescent="0.75">
      <c r="B74" s="7" t="s">
        <v>95</v>
      </c>
      <c r="C74" s="23" t="str">
        <f t="shared" si="8"/>
        <v>ar</v>
      </c>
      <c r="D74" s="23" t="str">
        <f t="shared" si="9"/>
        <v>maça</v>
      </c>
      <c r="E74" s="23" t="str">
        <f t="shared" si="10"/>
        <v>-</v>
      </c>
      <c r="F74"/>
    </row>
    <row r="75" spans="2:6" ht="33.5" x14ac:dyDescent="0.75">
      <c r="B75" s="7" t="s">
        <v>96</v>
      </c>
      <c r="C75" s="23" t="str">
        <f t="shared" si="8"/>
        <v>br</v>
      </c>
      <c r="D75" s="23" t="str">
        <f t="shared" si="9"/>
        <v>br-.</v>
      </c>
      <c r="E75" s="23" t="str">
        <f t="shared" si="10"/>
        <v>-</v>
      </c>
      <c r="F75"/>
    </row>
    <row r="76" spans="2:6" ht="33.5" x14ac:dyDescent="0.75">
      <c r="B76" s="7" t="s">
        <v>97</v>
      </c>
      <c r="C76" s="23" t="str">
        <f t="shared" si="8"/>
        <v>cl</v>
      </c>
      <c r="D76" s="23" t="str">
        <f t="shared" si="9"/>
        <v>cl-w</v>
      </c>
      <c r="E76" s="23" t="str">
        <f t="shared" si="10"/>
        <v>-</v>
      </c>
      <c r="F76"/>
    </row>
    <row r="77" spans="2:6" ht="33.5" x14ac:dyDescent="0.75">
      <c r="B77" s="7" t="s">
        <v>98</v>
      </c>
      <c r="C77" s="23" t="str">
        <f t="shared" si="8"/>
        <v>br</v>
      </c>
      <c r="D77" s="23" t="str">
        <f t="shared" si="9"/>
        <v>maça</v>
      </c>
      <c r="E77" s="23" t="str">
        <f t="shared" si="10"/>
        <v>Maça do Brasil</v>
      </c>
      <c r="F77"/>
    </row>
    <row r="78" spans="2:6" x14ac:dyDescent="0.35">
      <c r="D78"/>
      <c r="F78"/>
    </row>
    <row r="79" spans="2:6" x14ac:dyDescent="0.35">
      <c r="D79"/>
      <c r="F79"/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CFA9-C6AB-453D-939F-318BBB67DB77}">
  <dimension ref="B3:F43"/>
  <sheetViews>
    <sheetView showGridLines="0" workbookViewId="0">
      <selection activeCell="B7" sqref="B7"/>
    </sheetView>
  </sheetViews>
  <sheetFormatPr defaultRowHeight="14.5" x14ac:dyDescent="0.35"/>
  <cols>
    <col min="2" max="2" width="27.36328125" style="1" customWidth="1"/>
    <col min="3" max="3" width="87.453125" style="1" customWidth="1"/>
    <col min="4" max="4" width="46.54296875" style="1" customWidth="1"/>
    <col min="5" max="5" width="23.6328125" customWidth="1"/>
    <col min="6" max="6" width="27.36328125" style="1" customWidth="1"/>
    <col min="7" max="7" width="27.36328125" customWidth="1"/>
    <col min="8" max="8" width="25.1796875" customWidth="1"/>
  </cols>
  <sheetData>
    <row r="3" spans="2:6" ht="23.5" x14ac:dyDescent="0.55000000000000004">
      <c r="B3" s="10" t="s">
        <v>111</v>
      </c>
      <c r="F3"/>
    </row>
    <row r="4" spans="2:6" ht="23.5" x14ac:dyDescent="0.55000000000000004">
      <c r="B4" s="10" t="s">
        <v>112</v>
      </c>
      <c r="F4"/>
    </row>
    <row r="5" spans="2:6" ht="23.5" x14ac:dyDescent="0.55000000000000004">
      <c r="B5"/>
      <c r="C5" s="5"/>
      <c r="F5"/>
    </row>
    <row r="7" spans="2:6" ht="26" x14ac:dyDescent="0.6">
      <c r="B7" s="6" t="s">
        <v>75</v>
      </c>
      <c r="C7" s="6" t="s">
        <v>2</v>
      </c>
      <c r="D7" s="6" t="s">
        <v>110</v>
      </c>
      <c r="F7"/>
    </row>
    <row r="8" spans="2:6" ht="33.5" x14ac:dyDescent="0.75">
      <c r="B8" s="7" t="s">
        <v>27</v>
      </c>
      <c r="C8" s="23" t="str">
        <f>IF(OR(B8="A",B8="B",B8="C"),"Letra A, B ou C","Outra Letra")</f>
        <v>Letra A, B ou C</v>
      </c>
      <c r="D8" s="23" t="str">
        <f>IF(SUM(IF(B8={"A";"B";"C"},1,0))&gt;=1,"Letra A, B ou C","Outra Letra")</f>
        <v>Letra A, B ou C</v>
      </c>
      <c r="F8"/>
    </row>
    <row r="9" spans="2:6" ht="33.5" x14ac:dyDescent="0.75">
      <c r="B9" s="7" t="s">
        <v>28</v>
      </c>
      <c r="C9" s="23" t="str">
        <f t="shared" ref="C9:C13" si="0">IF(OR(B9="A",B9="B",B9="C"),"Letra A, B ou C","Outra Letra")</f>
        <v>Letra A, B ou C</v>
      </c>
      <c r="D9" s="23" t="str">
        <f>IF(SUM(IF(B9={"A";"B";"C"},1,0))&gt;=1,"Letra A, B ou C","Outra Letra")</f>
        <v>Letra A, B ou C</v>
      </c>
      <c r="E9" s="1" t="str" cm="1">
        <f t="array" ref="E9:E10">IF(B9={"A";"B"},"-","")</f>
        <v/>
      </c>
      <c r="F9"/>
    </row>
    <row r="10" spans="2:6" ht="33.5" x14ac:dyDescent="0.75">
      <c r="B10" s="7" t="s">
        <v>30</v>
      </c>
      <c r="C10" s="23" t="str">
        <f t="shared" si="0"/>
        <v>Outra Letra</v>
      </c>
      <c r="D10" s="23" t="str">
        <f>IF(SUM(IF(B10={"A";"B";"C"},1,0))&gt;=1,"Letra A, B ou C","Outra Letra")</f>
        <v>Outra Letra</v>
      </c>
      <c r="E10" t="str">
        <v>-</v>
      </c>
    </row>
    <row r="11" spans="2:6" ht="33.5" x14ac:dyDescent="0.75">
      <c r="B11" s="7" t="s">
        <v>25</v>
      </c>
      <c r="C11" s="23" t="str">
        <f t="shared" si="0"/>
        <v>Outra Letra</v>
      </c>
      <c r="D11" s="23" t="str">
        <f>IF(SUM(IF(B11={"A";"B";"C"},1,0))&gt;=1,"Letra A, B ou C","Outra Letra")</f>
        <v>Outra Letra</v>
      </c>
    </row>
    <row r="12" spans="2:6" ht="33.5" x14ac:dyDescent="0.75">
      <c r="B12" s="7" t="s">
        <v>27</v>
      </c>
      <c r="C12" s="23" t="str">
        <f t="shared" si="0"/>
        <v>Letra A, B ou C</v>
      </c>
      <c r="D12" s="23" t="str">
        <f>IF(SUM(IF(B12={"A";"B";"C"},1,0))&gt;=1,"Letra A, B ou C","Outra Letra")</f>
        <v>Letra A, B ou C</v>
      </c>
    </row>
    <row r="13" spans="2:6" ht="33.5" x14ac:dyDescent="0.75">
      <c r="B13" s="7" t="s">
        <v>29</v>
      </c>
      <c r="C13" s="23" t="str">
        <f t="shared" si="0"/>
        <v>Letra A, B ou C</v>
      </c>
      <c r="D13" s="23" t="str">
        <f>IF(SUM(IF(B13={"A";"B";"C"},1,0))&gt;=1,"Letra A, B ou C","Outra Letra")</f>
        <v>Letra A, B ou C</v>
      </c>
    </row>
    <row r="14" spans="2:6" x14ac:dyDescent="0.35">
      <c r="D14" s="1" t="str" cm="1">
        <f t="array" ref="D14">IF(SUM(IF(B14={"A";"B";"C"},1,0))&gt;=1,"Letra A, B ou C","-")</f>
        <v>-</v>
      </c>
    </row>
    <row r="16" spans="2:6" ht="28.5" x14ac:dyDescent="0.65">
      <c r="B16" s="18" t="s">
        <v>59</v>
      </c>
    </row>
    <row r="18" spans="2:6" ht="23.5" x14ac:dyDescent="0.55000000000000004">
      <c r="B18" s="10" t="s">
        <v>113</v>
      </c>
      <c r="F18"/>
    </row>
    <row r="19" spans="2:6" ht="23.5" x14ac:dyDescent="0.55000000000000004">
      <c r="B19" s="10" t="s">
        <v>123</v>
      </c>
      <c r="F19"/>
    </row>
    <row r="20" spans="2:6" ht="23.5" x14ac:dyDescent="0.55000000000000004">
      <c r="B20" s="10" t="s">
        <v>114</v>
      </c>
      <c r="F20"/>
    </row>
    <row r="23" spans="2:6" ht="26" x14ac:dyDescent="0.6">
      <c r="B23" s="6" t="s">
        <v>79</v>
      </c>
      <c r="C23" s="6" t="s">
        <v>2</v>
      </c>
    </row>
    <row r="24" spans="2:6" ht="33.5" x14ac:dyDescent="0.75">
      <c r="B24" s="7" t="s">
        <v>131</v>
      </c>
      <c r="C24" s="23" t="str">
        <f>IF(OR(LOWER(B24)="azul",
LOWER(B24)="verde"),"A cor é Azul ou Verde","-")</f>
        <v>A cor é Azul ou Verde</v>
      </c>
    </row>
    <row r="25" spans="2:6" ht="33.5" x14ac:dyDescent="0.75">
      <c r="B25" s="7" t="s">
        <v>81</v>
      </c>
      <c r="C25" s="23" t="str">
        <f t="shared" ref="C25:C28" si="1">IF(OR(LOWER(B25)="azul",
LOWER(B25)="verde"),"A cor é Azul ou Verde","-")</f>
        <v>-</v>
      </c>
    </row>
    <row r="26" spans="2:6" ht="33.5" x14ac:dyDescent="0.75">
      <c r="B26" s="7" t="s">
        <v>82</v>
      </c>
      <c r="C26" s="23" t="str">
        <f t="shared" si="1"/>
        <v>-</v>
      </c>
    </row>
    <row r="27" spans="2:6" ht="33.5" x14ac:dyDescent="0.75">
      <c r="B27" s="7" t="s">
        <v>130</v>
      </c>
      <c r="C27" s="23" t="str">
        <f t="shared" si="1"/>
        <v>A cor é Azul ou Verde</v>
      </c>
    </row>
    <row r="28" spans="2:6" ht="33.5" x14ac:dyDescent="0.75">
      <c r="B28" s="7" t="s">
        <v>84</v>
      </c>
      <c r="C28" s="23" t="str">
        <f t="shared" si="1"/>
        <v>-</v>
      </c>
    </row>
    <row r="31" spans="2:6" ht="28.5" x14ac:dyDescent="0.65">
      <c r="B31" s="18" t="s">
        <v>59</v>
      </c>
    </row>
    <row r="33" spans="2:6" ht="23.5" x14ac:dyDescent="0.55000000000000004">
      <c r="B33" s="10" t="s">
        <v>115</v>
      </c>
      <c r="F33"/>
    </row>
    <row r="34" spans="2:6" ht="23.5" x14ac:dyDescent="0.55000000000000004">
      <c r="B34" s="10" t="s">
        <v>116</v>
      </c>
      <c r="F34"/>
    </row>
    <row r="35" spans="2:6" ht="23.5" x14ac:dyDescent="0.55000000000000004">
      <c r="B35" s="10" t="s">
        <v>114</v>
      </c>
      <c r="F35"/>
    </row>
    <row r="38" spans="2:6" ht="26" x14ac:dyDescent="0.6">
      <c r="B38" s="6" t="s">
        <v>76</v>
      </c>
      <c r="C38" s="6" t="s">
        <v>2</v>
      </c>
    </row>
    <row r="39" spans="2:6" ht="33.5" x14ac:dyDescent="0.75">
      <c r="B39" s="7">
        <v>5</v>
      </c>
      <c r="C39" s="23" t="str">
        <f>IF(OR(B39&lt;10,B39&gt;50),"Número menor que 10 ou maior que 50","-")</f>
        <v>Número menor que 10 ou maior que 50</v>
      </c>
    </row>
    <row r="40" spans="2:6" ht="33.5" x14ac:dyDescent="0.75">
      <c r="B40" s="7">
        <v>79</v>
      </c>
      <c r="C40" s="23" t="str">
        <f t="shared" ref="C40:C43" si="2">IF(OR(B40&lt;10,B40&gt;50),"Número menor que 10 ou maior que 50","-")</f>
        <v>Número menor que 10 ou maior que 50</v>
      </c>
    </row>
    <row r="41" spans="2:6" ht="33.5" x14ac:dyDescent="0.75">
      <c r="B41" s="7">
        <v>45</v>
      </c>
      <c r="C41" s="23" t="str">
        <f t="shared" si="2"/>
        <v>-</v>
      </c>
    </row>
    <row r="42" spans="2:6" ht="33.5" x14ac:dyDescent="0.75">
      <c r="B42" s="7">
        <v>98</v>
      </c>
      <c r="C42" s="23" t="str">
        <f t="shared" si="2"/>
        <v>Número menor que 10 ou maior que 50</v>
      </c>
    </row>
    <row r="43" spans="2:6" ht="33.5" x14ac:dyDescent="0.75">
      <c r="B43" s="7">
        <v>31</v>
      </c>
      <c r="C43" s="23" t="str">
        <f t="shared" si="2"/>
        <v>-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0654-D08C-4E61-948E-2209B03D6119}">
  <dimension ref="B4:T26"/>
  <sheetViews>
    <sheetView tabSelected="1" topLeftCell="G1" zoomScale="92" workbookViewId="0">
      <selection activeCell="T7" sqref="T7"/>
    </sheetView>
  </sheetViews>
  <sheetFormatPr defaultRowHeight="14.5" x14ac:dyDescent="0.35"/>
  <cols>
    <col min="2" max="2" width="13.453125" style="1" bestFit="1" customWidth="1"/>
    <col min="3" max="3" width="14.81640625" customWidth="1"/>
    <col min="4" max="4" width="18.90625" bestFit="1" customWidth="1"/>
    <col min="7" max="7" width="13.453125" style="1" bestFit="1" customWidth="1"/>
    <col min="12" max="12" width="13.453125" style="1" bestFit="1" customWidth="1"/>
    <col min="14" max="14" width="18.90625" bestFit="1" customWidth="1"/>
    <col min="20" max="20" width="9.81640625" customWidth="1"/>
  </cols>
  <sheetData>
    <row r="4" spans="2:20" ht="21" x14ac:dyDescent="0.5">
      <c r="B4" s="21" t="s">
        <v>77</v>
      </c>
      <c r="G4" s="21" t="s">
        <v>78</v>
      </c>
      <c r="L4" s="21" t="s">
        <v>118</v>
      </c>
      <c r="R4" s="21" t="s">
        <v>117</v>
      </c>
    </row>
    <row r="5" spans="2:20" x14ac:dyDescent="0.35">
      <c r="R5" s="1"/>
    </row>
    <row r="6" spans="2:20" ht="33.5" x14ac:dyDescent="0.75">
      <c r="B6" s="7" t="s">
        <v>76</v>
      </c>
      <c r="D6" s="23">
        <f t="array" ref="D6">MIN(IF(B7:B13&gt;40,B7:B13))</f>
        <v>43</v>
      </c>
      <c r="G6" s="7" t="s">
        <v>76</v>
      </c>
      <c r="I6" s="23" cm="1">
        <f t="array" ref="I6">LARGE(IF(G7:G13&gt;40,G7:G13),1)</f>
        <v>94</v>
      </c>
      <c r="L6" s="7" t="s">
        <v>76</v>
      </c>
      <c r="N6" s="23" cm="1">
        <f t="array" ref="N6">SUM(IF(L7:L13=32,1,0))</f>
        <v>2</v>
      </c>
      <c r="R6" s="7" t="s">
        <v>76</v>
      </c>
      <c r="T6" s="23" cm="1">
        <f t="array" ref="T6">SUM(IF(R7:R13&lt;=20,R7:R13,0))</f>
        <v>28</v>
      </c>
    </row>
    <row r="7" spans="2:20" ht="26" x14ac:dyDescent="0.6">
      <c r="B7" s="7">
        <v>92</v>
      </c>
      <c r="G7" s="7">
        <v>92</v>
      </c>
      <c r="L7" s="7">
        <v>92</v>
      </c>
      <c r="R7" s="7">
        <v>50</v>
      </c>
    </row>
    <row r="8" spans="2:20" ht="26" x14ac:dyDescent="0.6">
      <c r="B8" s="7">
        <v>53</v>
      </c>
      <c r="G8" s="7">
        <v>53</v>
      </c>
      <c r="L8" s="7">
        <v>19</v>
      </c>
      <c r="R8" s="7">
        <v>18</v>
      </c>
    </row>
    <row r="9" spans="2:20" ht="26" x14ac:dyDescent="0.6">
      <c r="B9" s="7">
        <v>46</v>
      </c>
      <c r="G9" s="7">
        <v>46</v>
      </c>
      <c r="L9" s="7">
        <v>32</v>
      </c>
      <c r="R9" s="7">
        <v>32</v>
      </c>
    </row>
    <row r="10" spans="2:20" ht="26" x14ac:dyDescent="0.6">
      <c r="B10" s="7">
        <v>43</v>
      </c>
      <c r="G10" s="7">
        <v>94</v>
      </c>
      <c r="L10" s="7">
        <v>94</v>
      </c>
      <c r="R10" s="7">
        <v>10</v>
      </c>
    </row>
    <row r="11" spans="2:20" ht="26" x14ac:dyDescent="0.6">
      <c r="B11" s="7">
        <v>32</v>
      </c>
      <c r="G11" s="7">
        <v>32</v>
      </c>
      <c r="L11" s="7">
        <v>32</v>
      </c>
      <c r="R11" s="7">
        <v>32</v>
      </c>
    </row>
    <row r="12" spans="2:20" ht="26" x14ac:dyDescent="0.6">
      <c r="B12" s="7">
        <v>35</v>
      </c>
      <c r="G12" s="7">
        <v>35</v>
      </c>
      <c r="L12" s="7">
        <v>35</v>
      </c>
      <c r="R12" s="7">
        <v>35</v>
      </c>
    </row>
    <row r="13" spans="2:20" ht="26" x14ac:dyDescent="0.6">
      <c r="B13" s="7">
        <v>60</v>
      </c>
      <c r="G13" s="7">
        <v>60</v>
      </c>
      <c r="L13" s="7">
        <v>10</v>
      </c>
      <c r="R13" s="7">
        <v>21</v>
      </c>
    </row>
    <row r="19" spans="2:5" ht="23.5" x14ac:dyDescent="0.55000000000000004">
      <c r="B19" s="26"/>
      <c r="C19" s="5"/>
      <c r="E19" s="1"/>
    </row>
    <row r="20" spans="2:5" ht="23.5" x14ac:dyDescent="0.55000000000000004">
      <c r="B20" s="26"/>
      <c r="C20" s="5"/>
      <c r="E20" s="1"/>
    </row>
    <row r="21" spans="2:5" ht="23.5" x14ac:dyDescent="0.55000000000000004">
      <c r="B21" s="26"/>
      <c r="C21" s="5"/>
      <c r="E21" s="1"/>
    </row>
    <row r="22" spans="2:5" ht="23.5" x14ac:dyDescent="0.55000000000000004">
      <c r="B22" s="26"/>
      <c r="C22" s="5"/>
      <c r="E22" s="1"/>
    </row>
    <row r="23" spans="2:5" ht="23.5" x14ac:dyDescent="0.55000000000000004">
      <c r="B23" s="26"/>
      <c r="C23" s="5"/>
      <c r="E23" s="1"/>
    </row>
    <row r="24" spans="2:5" ht="23.5" x14ac:dyDescent="0.55000000000000004">
      <c r="B24" s="26"/>
      <c r="C24" s="5"/>
      <c r="E24" s="1"/>
    </row>
    <row r="25" spans="2:5" ht="23.5" x14ac:dyDescent="0.55000000000000004">
      <c r="B25" s="26"/>
      <c r="C25" s="5"/>
      <c r="E25" s="1"/>
    </row>
    <row r="26" spans="2:5" ht="23.5" x14ac:dyDescent="0.55000000000000004">
      <c r="B26" s="26"/>
      <c r="C26" s="5"/>
      <c r="E26" s="1"/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15A9-7E59-4210-9054-127FE3BBCC26}">
  <dimension ref="B2:D39"/>
  <sheetViews>
    <sheetView showGridLines="0" topLeftCell="A28" workbookViewId="0">
      <selection activeCell="B33" sqref="B33"/>
    </sheetView>
  </sheetViews>
  <sheetFormatPr defaultRowHeight="14.5" x14ac:dyDescent="0.35"/>
  <cols>
    <col min="2" max="2" width="25.36328125" style="1" customWidth="1"/>
    <col min="3" max="3" width="22.54296875" customWidth="1"/>
    <col min="4" max="4" width="25.36328125" style="1" customWidth="1"/>
  </cols>
  <sheetData>
    <row r="2" spans="2:4" ht="31" x14ac:dyDescent="0.7">
      <c r="B2" s="4" t="s">
        <v>7</v>
      </c>
    </row>
    <row r="3" spans="2:4" ht="31" x14ac:dyDescent="0.7">
      <c r="B3" s="4"/>
    </row>
    <row r="4" spans="2:4" ht="23.5" x14ac:dyDescent="0.55000000000000004">
      <c r="B4" s="10" t="s">
        <v>41</v>
      </c>
    </row>
    <row r="5" spans="2:4" ht="23.5" x14ac:dyDescent="0.55000000000000004">
      <c r="B5" s="10" t="s">
        <v>40</v>
      </c>
    </row>
    <row r="6" spans="2:4" ht="23.5" x14ac:dyDescent="0.55000000000000004">
      <c r="B6" s="5"/>
    </row>
    <row r="7" spans="2:4" ht="26" x14ac:dyDescent="0.6">
      <c r="B7" s="6" t="s">
        <v>0</v>
      </c>
      <c r="C7" s="6" t="s">
        <v>1</v>
      </c>
      <c r="D7" s="6" t="s">
        <v>2</v>
      </c>
    </row>
    <row r="8" spans="2:4" ht="26" x14ac:dyDescent="0.6">
      <c r="B8" s="7" t="s">
        <v>3</v>
      </c>
      <c r="C8" s="7">
        <v>9</v>
      </c>
      <c r="D8" s="8" t="str">
        <f>IF(C8&gt;=6,"Aprovado","Reprovado")</f>
        <v>Aprovado</v>
      </c>
    </row>
    <row r="9" spans="2:4" ht="26" x14ac:dyDescent="0.6">
      <c r="B9" s="7" t="s">
        <v>4</v>
      </c>
      <c r="C9" s="7">
        <v>5</v>
      </c>
      <c r="D9" s="8" t="str">
        <f t="shared" ref="D9:D13" si="0">IF(C9&gt;=6,"Aprovado","Reprovado")</f>
        <v>Reprovado</v>
      </c>
    </row>
    <row r="10" spans="2:4" ht="26" x14ac:dyDescent="0.6">
      <c r="B10" s="7" t="s">
        <v>5</v>
      </c>
      <c r="C10" s="7">
        <v>5</v>
      </c>
      <c r="D10" s="8" t="str">
        <f t="shared" si="0"/>
        <v>Reprovado</v>
      </c>
    </row>
    <row r="11" spans="2:4" ht="26" x14ac:dyDescent="0.6">
      <c r="B11" s="7" t="s">
        <v>6</v>
      </c>
      <c r="C11" s="7">
        <v>7</v>
      </c>
      <c r="D11" s="8" t="str">
        <f t="shared" si="0"/>
        <v>Aprovado</v>
      </c>
    </row>
    <row r="12" spans="2:4" ht="26" x14ac:dyDescent="0.6">
      <c r="B12" s="7" t="s">
        <v>31</v>
      </c>
      <c r="C12" s="7">
        <v>10</v>
      </c>
      <c r="D12" s="8" t="str">
        <f t="shared" si="0"/>
        <v>Aprovado</v>
      </c>
    </row>
    <row r="13" spans="2:4" ht="26" x14ac:dyDescent="0.6">
      <c r="B13" s="7" t="s">
        <v>17</v>
      </c>
      <c r="C13" s="7">
        <v>9</v>
      </c>
      <c r="D13" s="8" t="str">
        <f t="shared" si="0"/>
        <v>Aprovado</v>
      </c>
    </row>
    <row r="17" spans="2:3" ht="23.5" x14ac:dyDescent="0.55000000000000004">
      <c r="B17" s="10" t="s">
        <v>44</v>
      </c>
    </row>
    <row r="18" spans="2:3" ht="23.5" x14ac:dyDescent="0.55000000000000004">
      <c r="B18" s="10" t="s">
        <v>42</v>
      </c>
    </row>
    <row r="20" spans="2:3" ht="26" x14ac:dyDescent="0.6">
      <c r="B20" s="6" t="s">
        <v>8</v>
      </c>
      <c r="C20" s="6" t="s">
        <v>2</v>
      </c>
    </row>
    <row r="21" spans="2:3" ht="26" x14ac:dyDescent="0.6">
      <c r="B21" s="7" t="s">
        <v>9</v>
      </c>
      <c r="C21" s="8" t="str">
        <f>IF(B21="Laranja","Laranja","Fruta inválida")</f>
        <v>Laranja</v>
      </c>
    </row>
    <row r="22" spans="2:3" ht="26" x14ac:dyDescent="0.6">
      <c r="B22" s="7" t="s">
        <v>10</v>
      </c>
      <c r="C22" s="8" t="str">
        <f t="shared" ref="C22:C24" si="1">IF(B22="Laranja","Laranja","Fruta inválida")</f>
        <v>Fruta inválida</v>
      </c>
    </row>
    <row r="23" spans="2:3" ht="26" x14ac:dyDescent="0.6">
      <c r="B23" s="7" t="s">
        <v>9</v>
      </c>
      <c r="C23" s="8" t="str">
        <f t="shared" si="1"/>
        <v>Laranja</v>
      </c>
    </row>
    <row r="24" spans="2:3" ht="26" x14ac:dyDescent="0.6">
      <c r="B24" s="7" t="s">
        <v>43</v>
      </c>
      <c r="C24" s="8" t="str">
        <f t="shared" si="1"/>
        <v>Fruta inválida</v>
      </c>
    </row>
    <row r="28" spans="2:3" ht="23.5" x14ac:dyDescent="0.55000000000000004">
      <c r="B28" s="10" t="s">
        <v>85</v>
      </c>
    </row>
    <row r="29" spans="2:3" ht="23.5" x14ac:dyDescent="0.55000000000000004">
      <c r="B29" s="10" t="s">
        <v>119</v>
      </c>
    </row>
    <row r="32" spans="2:3" ht="26" x14ac:dyDescent="0.6">
      <c r="B32" s="6" t="s">
        <v>70</v>
      </c>
      <c r="C32" s="6" t="s">
        <v>2</v>
      </c>
    </row>
    <row r="33" spans="2:3" ht="26" x14ac:dyDescent="0.6">
      <c r="B33" s="16">
        <v>45248</v>
      </c>
      <c r="C33" s="8" t="str">
        <f ca="1">IF(TODAY()&lt;B33,"No prazo","Vencido")</f>
        <v>Vencido</v>
      </c>
    </row>
    <row r="34" spans="2:3" ht="26" x14ac:dyDescent="0.6">
      <c r="B34" s="16">
        <v>45261</v>
      </c>
      <c r="C34" s="8" t="str">
        <f t="shared" ref="C34:C39" ca="1" si="2">IF(TODAY()&lt;B34,"No prazo","Vencido")</f>
        <v>Vencido</v>
      </c>
    </row>
    <row r="35" spans="2:3" ht="26" x14ac:dyDescent="0.6">
      <c r="B35" s="16">
        <v>44905</v>
      </c>
      <c r="C35" s="8" t="str">
        <f t="shared" ca="1" si="2"/>
        <v>Vencido</v>
      </c>
    </row>
    <row r="36" spans="2:3" ht="26" x14ac:dyDescent="0.6">
      <c r="B36" s="16">
        <v>45098</v>
      </c>
      <c r="C36" s="8" t="str">
        <f t="shared" ca="1" si="2"/>
        <v>Vencido</v>
      </c>
    </row>
    <row r="37" spans="2:3" ht="26" x14ac:dyDescent="0.6">
      <c r="B37" s="16">
        <v>44710</v>
      </c>
      <c r="C37" s="8" t="str">
        <f t="shared" ca="1" si="2"/>
        <v>Vencido</v>
      </c>
    </row>
    <row r="38" spans="2:3" ht="26" x14ac:dyDescent="0.6">
      <c r="B38" s="16">
        <v>45021</v>
      </c>
      <c r="C38" s="8" t="str">
        <f t="shared" ca="1" si="2"/>
        <v>Vencido</v>
      </c>
    </row>
    <row r="39" spans="2:3" ht="26" x14ac:dyDescent="0.6">
      <c r="B39" s="16">
        <v>45476</v>
      </c>
      <c r="C39" s="8" t="str">
        <f t="shared" ca="1" si="2"/>
        <v>Vencido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9244-202C-413C-91EA-CF2828DA1573}">
  <dimension ref="B1:H13"/>
  <sheetViews>
    <sheetView showGridLines="0" topLeftCell="A2" zoomScale="97" workbookViewId="0">
      <selection activeCell="G10" sqref="G10"/>
    </sheetView>
  </sheetViews>
  <sheetFormatPr defaultRowHeight="14.5" x14ac:dyDescent="0.35"/>
  <cols>
    <col min="2" max="2" width="39.36328125" style="1" customWidth="1"/>
    <col min="3" max="3" width="23.453125" style="1" customWidth="1"/>
    <col min="4" max="4" width="24.08984375" style="1" customWidth="1"/>
    <col min="5" max="5" width="39.36328125" style="1" customWidth="1"/>
    <col min="7" max="7" width="12.90625" style="1" customWidth="1"/>
    <col min="8" max="8" width="20" customWidth="1"/>
  </cols>
  <sheetData>
    <row r="1" spans="2:8" x14ac:dyDescent="0.35">
      <c r="B1"/>
      <c r="D1"/>
      <c r="G1"/>
    </row>
    <row r="2" spans="2:8" ht="23.5" x14ac:dyDescent="0.55000000000000004">
      <c r="B2" s="10" t="s">
        <v>45</v>
      </c>
      <c r="D2"/>
      <c r="G2"/>
    </row>
    <row r="3" spans="2:8" ht="23.5" x14ac:dyDescent="0.55000000000000004">
      <c r="B3" s="10" t="s">
        <v>46</v>
      </c>
      <c r="D3"/>
      <c r="G3"/>
    </row>
    <row r="4" spans="2:8" ht="23.5" x14ac:dyDescent="0.55000000000000004">
      <c r="B4"/>
      <c r="C4" s="5"/>
      <c r="D4"/>
      <c r="G4"/>
    </row>
    <row r="5" spans="2:8" ht="28.5" x14ac:dyDescent="0.65">
      <c r="B5" s="6" t="s">
        <v>0</v>
      </c>
      <c r="C5" s="6" t="s">
        <v>11</v>
      </c>
      <c r="D5" s="6" t="s">
        <v>12</v>
      </c>
      <c r="E5" s="6" t="s">
        <v>13</v>
      </c>
      <c r="H5" s="2" t="s">
        <v>14</v>
      </c>
    </row>
    <row r="6" spans="2:8" ht="28.5" x14ac:dyDescent="0.65">
      <c r="B6" s="7" t="s">
        <v>15</v>
      </c>
      <c r="C6" s="7" t="s">
        <v>16</v>
      </c>
      <c r="D6" s="11">
        <v>5</v>
      </c>
      <c r="E6" s="13">
        <f>IF(C6="F",D6-$H$6,D6-$H$7)</f>
        <v>2.5</v>
      </c>
      <c r="G6" s="3" t="s">
        <v>16</v>
      </c>
      <c r="H6" s="12">
        <v>2.5</v>
      </c>
    </row>
    <row r="7" spans="2:8" ht="28.5" x14ac:dyDescent="0.65">
      <c r="B7" s="7" t="s">
        <v>17</v>
      </c>
      <c r="C7" s="7" t="s">
        <v>16</v>
      </c>
      <c r="D7" s="11">
        <v>5</v>
      </c>
      <c r="E7" s="13">
        <f t="shared" ref="E7:E13" si="0">IF(C7="F",D7-$H$6,D7-$H$7)</f>
        <v>2.5</v>
      </c>
      <c r="G7" s="3" t="s">
        <v>18</v>
      </c>
      <c r="H7" s="12">
        <v>1</v>
      </c>
    </row>
    <row r="8" spans="2:8" ht="26" x14ac:dyDescent="0.6">
      <c r="B8" s="7" t="s">
        <v>19</v>
      </c>
      <c r="C8" s="7" t="s">
        <v>18</v>
      </c>
      <c r="D8" s="11">
        <v>5</v>
      </c>
      <c r="E8" s="13">
        <f t="shared" si="0"/>
        <v>4</v>
      </c>
    </row>
    <row r="9" spans="2:8" ht="26" x14ac:dyDescent="0.6">
      <c r="B9" s="7" t="s">
        <v>20</v>
      </c>
      <c r="C9" s="7" t="s">
        <v>18</v>
      </c>
      <c r="D9" s="11">
        <v>5</v>
      </c>
      <c r="E9" s="13">
        <f t="shared" si="0"/>
        <v>4</v>
      </c>
    </row>
    <row r="10" spans="2:8" ht="26" x14ac:dyDescent="0.6">
      <c r="B10" s="7" t="s">
        <v>21</v>
      </c>
      <c r="C10" s="7" t="s">
        <v>18</v>
      </c>
      <c r="D10" s="11">
        <v>5</v>
      </c>
      <c r="E10" s="13">
        <f t="shared" si="0"/>
        <v>4</v>
      </c>
    </row>
    <row r="11" spans="2:8" ht="26" x14ac:dyDescent="0.6">
      <c r="B11" s="7" t="s">
        <v>22</v>
      </c>
      <c r="C11" s="7" t="s">
        <v>16</v>
      </c>
      <c r="D11" s="11">
        <v>5</v>
      </c>
      <c r="E11" s="13">
        <f t="shared" si="0"/>
        <v>2.5</v>
      </c>
    </row>
    <row r="12" spans="2:8" ht="26" x14ac:dyDescent="0.6">
      <c r="B12" s="7" t="s">
        <v>23</v>
      </c>
      <c r="C12" s="7" t="s">
        <v>18</v>
      </c>
      <c r="D12" s="11">
        <v>5</v>
      </c>
      <c r="E12" s="13">
        <f t="shared" si="0"/>
        <v>4</v>
      </c>
    </row>
    <row r="13" spans="2:8" ht="26" x14ac:dyDescent="0.6">
      <c r="B13" s="7" t="s">
        <v>24</v>
      </c>
      <c r="C13" s="7" t="s">
        <v>16</v>
      </c>
      <c r="D13" s="11">
        <v>5</v>
      </c>
      <c r="E13" s="13">
        <f t="shared" si="0"/>
        <v>2.5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D7C7-06B1-42C7-92B8-B0301202A6E9}">
  <dimension ref="B2:C46"/>
  <sheetViews>
    <sheetView showGridLines="0" topLeftCell="A37" workbookViewId="0">
      <selection activeCell="D42" sqref="D42"/>
    </sheetView>
  </sheetViews>
  <sheetFormatPr defaultRowHeight="14.5" x14ac:dyDescent="0.35"/>
  <cols>
    <col min="2" max="2" width="25.36328125" style="1" customWidth="1"/>
    <col min="3" max="3" width="26.81640625" style="1" bestFit="1" customWidth="1"/>
  </cols>
  <sheetData>
    <row r="2" spans="2:3" ht="23.5" x14ac:dyDescent="0.55000000000000004">
      <c r="B2" s="10" t="s">
        <v>47</v>
      </c>
    </row>
    <row r="3" spans="2:3" ht="23.5" x14ac:dyDescent="0.55000000000000004">
      <c r="B3" s="14" t="s">
        <v>48</v>
      </c>
    </row>
    <row r="4" spans="2:3" ht="23.5" x14ac:dyDescent="0.55000000000000004">
      <c r="B4" s="14" t="s">
        <v>49</v>
      </c>
    </row>
    <row r="5" spans="2:3" ht="23.5" x14ac:dyDescent="0.55000000000000004">
      <c r="B5" s="14" t="s">
        <v>50</v>
      </c>
    </row>
    <row r="6" spans="2:3" ht="23.5" x14ac:dyDescent="0.55000000000000004">
      <c r="B6" s="14" t="s">
        <v>51</v>
      </c>
    </row>
    <row r="7" spans="2:3" ht="23.5" x14ac:dyDescent="0.55000000000000004">
      <c r="B7" s="5"/>
    </row>
    <row r="8" spans="2:3" ht="26" x14ac:dyDescent="0.6">
      <c r="B8" s="6" t="s">
        <v>0</v>
      </c>
      <c r="C8" s="6" t="s">
        <v>2</v>
      </c>
    </row>
    <row r="9" spans="2:3" ht="26" x14ac:dyDescent="0.6">
      <c r="B9" s="7" t="s">
        <v>27</v>
      </c>
      <c r="C9" s="8" t="str">
        <f>IF(B9="A","A",IF(B9="B","B",IF(B9="C","C","Outra Letra")))</f>
        <v>A</v>
      </c>
    </row>
    <row r="10" spans="2:3" ht="26" x14ac:dyDescent="0.6">
      <c r="B10" s="7" t="s">
        <v>28</v>
      </c>
      <c r="C10" s="8" t="str">
        <f t="shared" ref="C10:C14" si="0">IF(B10="A","A",IF(B10="B","B",IF(B10="C","C","Outra Letra")))</f>
        <v>B</v>
      </c>
    </row>
    <row r="11" spans="2:3" ht="26" x14ac:dyDescent="0.6">
      <c r="B11" s="7" t="s">
        <v>29</v>
      </c>
      <c r="C11" s="8" t="str">
        <f t="shared" si="0"/>
        <v>C</v>
      </c>
    </row>
    <row r="12" spans="2:3" ht="26" x14ac:dyDescent="0.6">
      <c r="B12" s="7" t="s">
        <v>28</v>
      </c>
      <c r="C12" s="8" t="str">
        <f t="shared" si="0"/>
        <v>B</v>
      </c>
    </row>
    <row r="13" spans="2:3" ht="26" x14ac:dyDescent="0.6">
      <c r="B13" s="7" t="s">
        <v>30</v>
      </c>
      <c r="C13" s="8" t="str">
        <f t="shared" si="0"/>
        <v>Outra Letra</v>
      </c>
    </row>
    <row r="14" spans="2:3" ht="26" x14ac:dyDescent="0.6">
      <c r="B14" s="7" t="s">
        <v>29</v>
      </c>
      <c r="C14" s="8" t="str">
        <f t="shared" si="0"/>
        <v>C</v>
      </c>
    </row>
    <row r="17" spans="2:3" ht="33.5" x14ac:dyDescent="0.75">
      <c r="B17" s="15" t="s">
        <v>59</v>
      </c>
    </row>
    <row r="19" spans="2:3" ht="23.5" x14ac:dyDescent="0.55000000000000004">
      <c r="B19" s="10" t="s">
        <v>120</v>
      </c>
    </row>
    <row r="20" spans="2:3" ht="23.5" x14ac:dyDescent="0.55000000000000004">
      <c r="B20" s="14" t="s">
        <v>52</v>
      </c>
    </row>
    <row r="21" spans="2:3" ht="23.5" x14ac:dyDescent="0.55000000000000004">
      <c r="B21" s="14" t="s">
        <v>53</v>
      </c>
    </row>
    <row r="22" spans="2:3" ht="23.5" x14ac:dyDescent="0.55000000000000004">
      <c r="B22" s="14" t="s">
        <v>55</v>
      </c>
    </row>
    <row r="23" spans="2:3" ht="23.5" x14ac:dyDescent="0.55000000000000004">
      <c r="B23" s="14" t="s">
        <v>56</v>
      </c>
    </row>
    <row r="24" spans="2:3" ht="23.5" x14ac:dyDescent="0.55000000000000004">
      <c r="B24" s="14" t="s">
        <v>57</v>
      </c>
    </row>
    <row r="25" spans="2:3" ht="23.5" x14ac:dyDescent="0.55000000000000004">
      <c r="B25" s="14" t="s">
        <v>58</v>
      </c>
    </row>
    <row r="26" spans="2:3" ht="23.5" x14ac:dyDescent="0.55000000000000004">
      <c r="B26" s="14" t="s">
        <v>54</v>
      </c>
    </row>
    <row r="28" spans="2:3" ht="26" x14ac:dyDescent="0.6">
      <c r="B28" s="6" t="s">
        <v>0</v>
      </c>
      <c r="C28" s="6" t="s">
        <v>2</v>
      </c>
    </row>
    <row r="29" spans="2:3" ht="26" x14ac:dyDescent="0.6">
      <c r="B29" s="7">
        <v>100</v>
      </c>
      <c r="C29" s="8" t="str">
        <f>IF(B29&gt;100,"Maior que 100",IF(B29&gt;=80,"Entre 80 e 100",IF(B29&gt;=60,"Entre 60 e 79",IF(B29&gt;=40,"Entre 40 e 59",IF(B29&gt;=20,"Entre 20 e 39",IF(B29&gt;=0,"Entre 0 e 19","Menor que ZERO"))))))</f>
        <v>Entre 80 e 100</v>
      </c>
    </row>
    <row r="30" spans="2:3" ht="26" x14ac:dyDescent="0.6">
      <c r="B30" s="7">
        <v>80</v>
      </c>
      <c r="C30" s="8" t="str">
        <f t="shared" ref="C30:C46" si="1">IF(B30&gt;100,"Maior que 100",IF(B30&gt;=80,"Entre 80 e 100",IF(B30&gt;=60,"Entre 60 e 79",IF(B30&gt;=40,"Entre 40 e 59",IF(B30&gt;=20,"Entre 20 e 39",IF(B30&gt;=0,"Entre 0 e 19","Menor que ZERO"))))))</f>
        <v>Entre 80 e 100</v>
      </c>
    </row>
    <row r="31" spans="2:3" ht="26" x14ac:dyDescent="0.6">
      <c r="B31" s="7">
        <v>60</v>
      </c>
      <c r="C31" s="8" t="str">
        <f t="shared" si="1"/>
        <v>Entre 60 e 79</v>
      </c>
    </row>
    <row r="32" spans="2:3" ht="26" x14ac:dyDescent="0.6">
      <c r="B32" s="7">
        <v>40</v>
      </c>
      <c r="C32" s="8" t="str">
        <f t="shared" si="1"/>
        <v>Entre 40 e 59</v>
      </c>
    </row>
    <row r="33" spans="2:3" ht="26" x14ac:dyDescent="0.6">
      <c r="B33" s="7">
        <v>20</v>
      </c>
      <c r="C33" s="8" t="str">
        <f t="shared" si="1"/>
        <v>Entre 20 e 39</v>
      </c>
    </row>
    <row r="34" spans="2:3" ht="26" x14ac:dyDescent="0.6">
      <c r="B34" s="7">
        <v>0</v>
      </c>
      <c r="C34" s="8" t="str">
        <f t="shared" si="1"/>
        <v>Entre 0 e 19</v>
      </c>
    </row>
    <row r="35" spans="2:3" ht="26" x14ac:dyDescent="0.6">
      <c r="B35" s="7">
        <v>30</v>
      </c>
      <c r="C35" s="8" t="str">
        <f t="shared" si="1"/>
        <v>Entre 20 e 39</v>
      </c>
    </row>
    <row r="36" spans="2:3" ht="26" x14ac:dyDescent="0.6">
      <c r="B36" s="7">
        <v>123</v>
      </c>
      <c r="C36" s="8" t="str">
        <f t="shared" si="1"/>
        <v>Maior que 100</v>
      </c>
    </row>
    <row r="37" spans="2:3" ht="26" x14ac:dyDescent="0.6">
      <c r="B37" s="7">
        <v>105</v>
      </c>
      <c r="C37" s="8" t="str">
        <f t="shared" si="1"/>
        <v>Maior que 100</v>
      </c>
    </row>
    <row r="38" spans="2:3" ht="26" x14ac:dyDescent="0.6">
      <c r="B38" s="7">
        <v>-3</v>
      </c>
      <c r="C38" s="8" t="str">
        <f t="shared" si="1"/>
        <v>Menor que ZERO</v>
      </c>
    </row>
    <row r="39" spans="2:3" ht="26" x14ac:dyDescent="0.6">
      <c r="B39" s="7">
        <v>97</v>
      </c>
      <c r="C39" s="8" t="str">
        <f t="shared" si="1"/>
        <v>Entre 80 e 100</v>
      </c>
    </row>
    <row r="40" spans="2:3" ht="26" x14ac:dyDescent="0.6">
      <c r="B40" s="7">
        <v>39</v>
      </c>
      <c r="C40" s="8" t="str">
        <f t="shared" si="1"/>
        <v>Entre 20 e 39</v>
      </c>
    </row>
    <row r="41" spans="2:3" ht="26" x14ac:dyDescent="0.6">
      <c r="B41" s="7">
        <v>88</v>
      </c>
      <c r="C41" s="8" t="str">
        <f t="shared" si="1"/>
        <v>Entre 80 e 100</v>
      </c>
    </row>
    <row r="42" spans="2:3" ht="26" x14ac:dyDescent="0.6">
      <c r="B42" s="7">
        <v>113</v>
      </c>
      <c r="C42" s="8" t="str">
        <f t="shared" si="1"/>
        <v>Maior que 100</v>
      </c>
    </row>
    <row r="43" spans="2:3" ht="26" x14ac:dyDescent="0.6">
      <c r="B43" s="7">
        <v>24</v>
      </c>
      <c r="C43" s="8" t="str">
        <f t="shared" si="1"/>
        <v>Entre 20 e 39</v>
      </c>
    </row>
    <row r="44" spans="2:3" ht="26" x14ac:dyDescent="0.6">
      <c r="B44" s="7">
        <v>41</v>
      </c>
      <c r="C44" s="8" t="str">
        <f t="shared" si="1"/>
        <v>Entre 40 e 59</v>
      </c>
    </row>
    <row r="45" spans="2:3" ht="26" x14ac:dyDescent="0.6">
      <c r="B45" s="7">
        <v>99</v>
      </c>
      <c r="C45" s="8" t="str">
        <f t="shared" si="1"/>
        <v>Entre 80 e 100</v>
      </c>
    </row>
    <row r="46" spans="2:3" ht="26" x14ac:dyDescent="0.6">
      <c r="B46" s="7">
        <v>104</v>
      </c>
      <c r="C46" s="8" t="str">
        <f t="shared" si="1"/>
        <v>Maior que 100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49F6-4E3D-4D23-A4B1-00964BDC3B94}">
  <dimension ref="B2:E41"/>
  <sheetViews>
    <sheetView showGridLines="0" topLeftCell="A38" workbookViewId="0">
      <selection activeCell="E35" sqref="E35"/>
    </sheetView>
  </sheetViews>
  <sheetFormatPr defaultRowHeight="14.5" x14ac:dyDescent="0.35"/>
  <cols>
    <col min="2" max="2" width="48.90625" style="1" customWidth="1"/>
    <col min="3" max="3" width="26.1796875" style="1" customWidth="1"/>
    <col min="4" max="4" width="43.54296875" bestFit="1" customWidth="1"/>
    <col min="5" max="5" width="43.1796875" customWidth="1"/>
  </cols>
  <sheetData>
    <row r="2" spans="2:3" ht="31" x14ac:dyDescent="0.7">
      <c r="B2" s="4" t="s">
        <v>59</v>
      </c>
    </row>
    <row r="3" spans="2:3" ht="31" x14ac:dyDescent="0.7">
      <c r="B3" s="4"/>
    </row>
    <row r="4" spans="2:3" ht="23.5" x14ac:dyDescent="0.55000000000000004">
      <c r="B4" s="10" t="s">
        <v>86</v>
      </c>
    </row>
    <row r="5" spans="2:3" ht="23.5" x14ac:dyDescent="0.55000000000000004">
      <c r="B5" s="5"/>
    </row>
    <row r="6" spans="2:3" ht="26" x14ac:dyDescent="0.6">
      <c r="B6" s="6" t="s">
        <v>0</v>
      </c>
      <c r="C6" s="6" t="s">
        <v>2</v>
      </c>
    </row>
    <row r="7" spans="2:3" ht="26" x14ac:dyDescent="0.6">
      <c r="B7" s="7" t="s">
        <v>60</v>
      </c>
      <c r="C7" s="8" t="str">
        <f>IF(LOWER(B7) = "MAÇA", "É maça", "Não é maça")</f>
        <v>É maça</v>
      </c>
    </row>
    <row r="8" spans="2:3" ht="26" x14ac:dyDescent="0.6">
      <c r="B8" s="7" t="s">
        <v>61</v>
      </c>
      <c r="C8" s="8" t="str">
        <f t="shared" ref="C8:C12" si="0">IF(LOWER(B8) = "MAÇA", "É maça", "Não é maça")</f>
        <v>É maça</v>
      </c>
    </row>
    <row r="9" spans="2:3" ht="26" x14ac:dyDescent="0.6">
      <c r="B9" s="7" t="s">
        <v>62</v>
      </c>
      <c r="C9" s="8" t="str">
        <f t="shared" si="0"/>
        <v>É maça</v>
      </c>
    </row>
    <row r="10" spans="2:3" ht="26" x14ac:dyDescent="0.6">
      <c r="B10" s="7" t="s">
        <v>63</v>
      </c>
      <c r="C10" s="8" t="str">
        <f t="shared" si="0"/>
        <v>Não é maça</v>
      </c>
    </row>
    <row r="11" spans="2:3" ht="26" x14ac:dyDescent="0.6">
      <c r="B11" s="7" t="s">
        <v>30</v>
      </c>
      <c r="C11" s="8" t="str">
        <f t="shared" si="0"/>
        <v>Não é maça</v>
      </c>
    </row>
    <row r="12" spans="2:3" ht="26" x14ac:dyDescent="0.6">
      <c r="B12" s="7" t="s">
        <v>29</v>
      </c>
      <c r="C12" s="8" t="str">
        <f t="shared" si="0"/>
        <v>Não é maça</v>
      </c>
    </row>
    <row r="15" spans="2:3" ht="31" x14ac:dyDescent="0.7">
      <c r="B15" s="4" t="s">
        <v>59</v>
      </c>
    </row>
    <row r="16" spans="2:3" ht="31" x14ac:dyDescent="0.7">
      <c r="B16" s="4"/>
    </row>
    <row r="17" spans="2:3" ht="23.5" x14ac:dyDescent="0.55000000000000004">
      <c r="B17" s="10" t="s">
        <v>122</v>
      </c>
    </row>
    <row r="18" spans="2:3" ht="23.5" x14ac:dyDescent="0.55000000000000004">
      <c r="B18" s="10" t="s">
        <v>87</v>
      </c>
    </row>
    <row r="20" spans="2:3" ht="26" x14ac:dyDescent="0.6">
      <c r="B20" s="6" t="s">
        <v>0</v>
      </c>
      <c r="C20" s="6" t="s">
        <v>2</v>
      </c>
    </row>
    <row r="21" spans="2:3" ht="26" x14ac:dyDescent="0.6">
      <c r="B21" s="7" t="s">
        <v>60</v>
      </c>
      <c r="C21" s="8" t="str">
        <f>IF(ISNUMBER(SEARCH("Maça",B21,1)), "Tem maça", "Outra Fruta")</f>
        <v>Tem maça</v>
      </c>
    </row>
    <row r="22" spans="2:3" ht="26" x14ac:dyDescent="0.6">
      <c r="B22" s="7" t="s">
        <v>64</v>
      </c>
      <c r="C22" s="8" t="str">
        <f t="shared" ref="C22:C27" si="1">IF(ISNUMBER(SEARCH("Maça",B22,1)), "Tem maça", "Outra Fruta")</f>
        <v>Tem maça</v>
      </c>
    </row>
    <row r="23" spans="2:3" ht="26" x14ac:dyDescent="0.6">
      <c r="B23" s="7" t="s">
        <v>65</v>
      </c>
      <c r="C23" s="8" t="str">
        <f t="shared" si="1"/>
        <v>Outra Fruta</v>
      </c>
    </row>
    <row r="24" spans="2:3" ht="26" x14ac:dyDescent="0.6">
      <c r="B24" s="7" t="s">
        <v>66</v>
      </c>
      <c r="C24" s="8" t="str">
        <f t="shared" si="1"/>
        <v>Tem maça</v>
      </c>
    </row>
    <row r="25" spans="2:3" ht="26" x14ac:dyDescent="0.6">
      <c r="B25" s="7" t="s">
        <v>67</v>
      </c>
      <c r="C25" s="8" t="str">
        <f t="shared" si="1"/>
        <v>Outra Fruta</v>
      </c>
    </row>
    <row r="26" spans="2:3" ht="26" x14ac:dyDescent="0.6">
      <c r="B26" s="7" t="s">
        <v>68</v>
      </c>
      <c r="C26" s="8" t="str">
        <f t="shared" si="1"/>
        <v>Tem maça</v>
      </c>
    </row>
    <row r="27" spans="2:3" ht="26" x14ac:dyDescent="0.6">
      <c r="B27" s="7" t="s">
        <v>69</v>
      </c>
      <c r="C27" s="8" t="str">
        <f t="shared" si="1"/>
        <v>Outra Fruta</v>
      </c>
    </row>
    <row r="30" spans="2:3" ht="23.5" x14ac:dyDescent="0.55000000000000004">
      <c r="B30" s="10" t="s">
        <v>121</v>
      </c>
    </row>
    <row r="31" spans="2:3" ht="23.5" x14ac:dyDescent="0.55000000000000004">
      <c r="B31" s="10" t="s">
        <v>88</v>
      </c>
    </row>
    <row r="34" spans="2:5" ht="26" x14ac:dyDescent="0.6">
      <c r="B34" s="6" t="s">
        <v>0</v>
      </c>
      <c r="C34" s="6" t="s">
        <v>71</v>
      </c>
      <c r="D34" s="6" t="s">
        <v>71</v>
      </c>
      <c r="E34" s="6" t="s">
        <v>71</v>
      </c>
    </row>
    <row r="35" spans="2:5" ht="26" x14ac:dyDescent="0.6">
      <c r="B35" s="16">
        <v>44957</v>
      </c>
      <c r="C35" s="8">
        <f>WEEKDAY(B35)</f>
        <v>3</v>
      </c>
      <c r="D35" s="8" t="str">
        <f>IF(C35 = 1,"Domingo não pode vender",
IF(C35 = 2,"Segunda-feira, boa vendas!",
IF(C35 = 3,"Terça-feira, boa vendas!",
IF(C35 = 4,"Quarta-feira, boa vendas!",
IF(C35 = 5,"Quinta-feira, boa vendas!",
IF(C35 = 6,"Sexta-feira, boa vendas!",
IF(C35 = 7,"Sábado não pode vender",
"-")))))))</f>
        <v>Terça-feira, boa vendas!</v>
      </c>
      <c r="E35" s="8" t="str">
        <f>IF(WEEKDAY(B35)= 1,"Domingo não pode vender",
IF(WEEKDAY(B35) = 2,"Segunda-feira, boa vendas!",
IF(WEEKDAY(B35) = 3,"Terça-feira, boa vendas!",
IF(WEEKDAY(B35) = 4,"Quarta-feira, boa vendas!",
IF(WEEKDAY(B35) = 5,"Quinta-feira, boa vendas!",
IF(WEEKDAY(B35) = 6,"Sexta-feira, boa vendas!",
IF(C35 = 7,"Sábado não pode vender",
"-")))))))</f>
        <v>Terça-feira, boa vendas!</v>
      </c>
    </row>
    <row r="36" spans="2:5" ht="26" x14ac:dyDescent="0.6">
      <c r="B36" s="16">
        <v>44940</v>
      </c>
      <c r="C36" s="8">
        <f t="shared" ref="C36:C41" si="2">WEEKDAY(B36)</f>
        <v>7</v>
      </c>
      <c r="D36" s="8" t="str">
        <f t="shared" ref="D36:D41" si="3">IF(C36 = 1,"Domingo não pode vender",
IF(C36 = 2,"Segunda-feira, boa vendas!",
IF(C36 = 3,"Terça-feira, boa vendas!",
IF(C36 = 4,"Quarta-feira, boa vendas!",
IF(C36 = 5,"Quinta-feira, boa vendas!",
IF(C36 = 6,"Sexta-feira, boa vendas!",
IF(C36 = 7,"Sábado não pode vender",
"-")))))))</f>
        <v>Sábado não pode vender</v>
      </c>
      <c r="E36" s="8" t="str">
        <f t="shared" ref="E36:E41" si="4">IF(WEEKDAY(B36)= 1,"Domingo não pode vender",
IF(WEEKDAY(B36) = 2,"Segunda-feira, boa vendas!",
IF(WEEKDAY(B36) = 3,"Terça-feira, boa vendas!",
IF(WEEKDAY(B36) = 4,"Quarta-feira, boa vendas!",
IF(WEEKDAY(B36) = 5,"Quinta-feira, boa vendas!",
IF(WEEKDAY(B36) = 6,"Sexta-feira, boa vendas!",
IF(C36 = 7,"Sábado não pode vender",
"-")))))))</f>
        <v>Sábado não pode vender</v>
      </c>
    </row>
    <row r="37" spans="2:5" ht="26" x14ac:dyDescent="0.6">
      <c r="B37" s="16">
        <v>44930</v>
      </c>
      <c r="C37" s="8">
        <f t="shared" si="2"/>
        <v>4</v>
      </c>
      <c r="D37" s="8" t="str">
        <f t="shared" si="3"/>
        <v>Quarta-feira, boa vendas!</v>
      </c>
      <c r="E37" s="8" t="str">
        <f t="shared" si="4"/>
        <v>Quarta-feira, boa vendas!</v>
      </c>
    </row>
    <row r="38" spans="2:5" ht="26" x14ac:dyDescent="0.6">
      <c r="B38" s="16">
        <v>44944</v>
      </c>
      <c r="C38" s="8">
        <f t="shared" si="2"/>
        <v>4</v>
      </c>
      <c r="D38" s="8" t="str">
        <f t="shared" si="3"/>
        <v>Quarta-feira, boa vendas!</v>
      </c>
      <c r="E38" s="8" t="str">
        <f t="shared" si="4"/>
        <v>Quarta-feira, boa vendas!</v>
      </c>
    </row>
    <row r="39" spans="2:5" ht="26" x14ac:dyDescent="0.6">
      <c r="B39" s="16">
        <v>44935</v>
      </c>
      <c r="C39" s="8">
        <f t="shared" si="2"/>
        <v>2</v>
      </c>
      <c r="D39" s="8" t="str">
        <f t="shared" si="3"/>
        <v>Segunda-feira, boa vendas!</v>
      </c>
      <c r="E39" s="8" t="str">
        <f t="shared" si="4"/>
        <v>Segunda-feira, boa vendas!</v>
      </c>
    </row>
    <row r="40" spans="2:5" ht="26" x14ac:dyDescent="0.6">
      <c r="B40" s="16">
        <v>44946</v>
      </c>
      <c r="C40" s="8">
        <f t="shared" si="2"/>
        <v>6</v>
      </c>
      <c r="D40" s="8" t="str">
        <f t="shared" si="3"/>
        <v>Sexta-feira, boa vendas!</v>
      </c>
      <c r="E40" s="8" t="str">
        <f t="shared" si="4"/>
        <v>Sexta-feira, boa vendas!</v>
      </c>
    </row>
    <row r="41" spans="2:5" ht="26" x14ac:dyDescent="0.6">
      <c r="B41" s="16">
        <v>44927</v>
      </c>
      <c r="C41" s="8">
        <f t="shared" si="2"/>
        <v>1</v>
      </c>
      <c r="D41" s="8" t="str">
        <f t="shared" si="3"/>
        <v>Domingo não pode vender</v>
      </c>
      <c r="E41" s="8" t="str">
        <f t="shared" si="4"/>
        <v>Domingo não pode vender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6C7B-5639-46E7-A045-1829B91CFDE5}">
  <dimension ref="B2:J79"/>
  <sheetViews>
    <sheetView showGridLines="0" topLeftCell="A60" zoomScale="71" zoomScaleNormal="100" workbookViewId="0">
      <selection activeCell="D72" sqref="D72:D77"/>
    </sheetView>
  </sheetViews>
  <sheetFormatPr defaultRowHeight="14.5" x14ac:dyDescent="0.35"/>
  <cols>
    <col min="2" max="3" width="27.36328125" style="1" customWidth="1"/>
    <col min="4" max="4" width="39.54296875" style="1" customWidth="1"/>
    <col min="5" max="5" width="27.453125" customWidth="1"/>
    <col min="6" max="6" width="27.36328125" style="1" customWidth="1"/>
    <col min="7" max="7" width="27.36328125" customWidth="1"/>
    <col min="8" max="8" width="25.1796875" customWidth="1"/>
  </cols>
  <sheetData>
    <row r="2" spans="2:7" ht="23.5" x14ac:dyDescent="0.55000000000000004">
      <c r="B2" s="10" t="s">
        <v>90</v>
      </c>
      <c r="F2"/>
    </row>
    <row r="3" spans="2:7" ht="23.5" x14ac:dyDescent="0.55000000000000004">
      <c r="B3" s="10" t="s">
        <v>89</v>
      </c>
      <c r="F3"/>
    </row>
    <row r="4" spans="2:7" ht="23.5" x14ac:dyDescent="0.55000000000000004">
      <c r="B4"/>
      <c r="C4" s="5"/>
      <c r="F4"/>
    </row>
    <row r="5" spans="2:7" ht="26" x14ac:dyDescent="0.6">
      <c r="B5" s="6" t="s">
        <v>0</v>
      </c>
      <c r="C5" s="6" t="s">
        <v>72</v>
      </c>
      <c r="D5" s="6" t="s">
        <v>2</v>
      </c>
      <c r="F5" s="6" t="s">
        <v>8</v>
      </c>
      <c r="G5" s="6" t="s">
        <v>72</v>
      </c>
    </row>
    <row r="6" spans="2:7" ht="26" x14ac:dyDescent="0.6">
      <c r="B6" s="7" t="s">
        <v>10</v>
      </c>
      <c r="C6" s="17">
        <v>1</v>
      </c>
      <c r="D6" s="8" t="str">
        <f>IF(AND(B6="Banana",C6=5),"Comprar Banana dia 5","Não comprar")</f>
        <v>Não comprar</v>
      </c>
      <c r="F6" s="7" t="s">
        <v>10</v>
      </c>
      <c r="G6" s="7">
        <v>5</v>
      </c>
    </row>
    <row r="7" spans="2:7" ht="26" x14ac:dyDescent="0.6">
      <c r="B7" s="7" t="s">
        <v>9</v>
      </c>
      <c r="C7" s="17">
        <v>10</v>
      </c>
      <c r="D7" s="8" t="str">
        <f t="shared" ref="D7:D11" si="0">IF(AND(B7="Banana",C7=5),"Comprar Banana dia 5","Não comprar")</f>
        <v>Não comprar</v>
      </c>
    </row>
    <row r="8" spans="2:7" ht="26" x14ac:dyDescent="0.6">
      <c r="B8" s="7" t="s">
        <v>26</v>
      </c>
      <c r="C8" s="17">
        <v>15</v>
      </c>
      <c r="D8" s="8" t="str">
        <f t="shared" si="0"/>
        <v>Não comprar</v>
      </c>
    </row>
    <row r="9" spans="2:7" ht="26" x14ac:dyDescent="0.6">
      <c r="B9" s="7" t="s">
        <v>60</v>
      </c>
      <c r="C9" s="17">
        <v>9</v>
      </c>
      <c r="D9" s="8" t="str">
        <f t="shared" si="0"/>
        <v>Não comprar</v>
      </c>
    </row>
    <row r="10" spans="2:7" ht="26" x14ac:dyDescent="0.6">
      <c r="B10" s="7" t="s">
        <v>10</v>
      </c>
      <c r="C10" s="17">
        <v>5</v>
      </c>
      <c r="D10" s="8" t="str">
        <f t="shared" si="0"/>
        <v>Comprar Banana dia 5</v>
      </c>
    </row>
    <row r="11" spans="2:7" ht="26" x14ac:dyDescent="0.6">
      <c r="B11" s="7" t="s">
        <v>10</v>
      </c>
      <c r="C11" s="17">
        <v>9</v>
      </c>
      <c r="D11" s="8" t="str">
        <f t="shared" si="0"/>
        <v>Não comprar</v>
      </c>
    </row>
    <row r="14" spans="2:7" ht="23.5" x14ac:dyDescent="0.55000000000000004">
      <c r="B14" s="10" t="s">
        <v>91</v>
      </c>
      <c r="F14"/>
    </row>
    <row r="15" spans="2:7" ht="23.5" x14ac:dyDescent="0.55000000000000004">
      <c r="B15" s="10" t="s">
        <v>92</v>
      </c>
      <c r="F15"/>
    </row>
    <row r="18" spans="2:7" ht="26" x14ac:dyDescent="0.6">
      <c r="B18" s="6" t="s">
        <v>0</v>
      </c>
      <c r="C18" s="6" t="s">
        <v>72</v>
      </c>
      <c r="D18" s="6" t="s">
        <v>2</v>
      </c>
      <c r="F18" s="6" t="s">
        <v>8</v>
      </c>
      <c r="G18" s="6" t="s">
        <v>72</v>
      </c>
    </row>
    <row r="19" spans="2:7" ht="26" x14ac:dyDescent="0.6">
      <c r="B19" s="7" t="s">
        <v>60</v>
      </c>
      <c r="C19" s="17">
        <v>6</v>
      </c>
      <c r="D19" s="8" t="str">
        <f>IF(AND(B19=$F$20,C19=$G$20),"Comprar Maça dia 6",
IF(AND(B19=$F$19,C19=$G$19),"Comprar Banana dia 5","Não comprar"))</f>
        <v>Comprar Maça dia 6</v>
      </c>
      <c r="F19" s="7" t="s">
        <v>10</v>
      </c>
      <c r="G19" s="7">
        <v>5</v>
      </c>
    </row>
    <row r="20" spans="2:7" ht="26" x14ac:dyDescent="0.6">
      <c r="B20" s="7" t="s">
        <v>9</v>
      </c>
      <c r="C20" s="17">
        <v>10</v>
      </c>
      <c r="D20" s="8" t="str">
        <f t="shared" ref="D20:D24" si="1">IF(AND(B20=$F$20,C20=$G$20),"Comprar Maça dia 6",
IF(AND(B20=$F$19,C20=$G$19),"Comprar Banana dia 5","Não comprar"))</f>
        <v>Não comprar</v>
      </c>
      <c r="F20" s="7" t="s">
        <v>60</v>
      </c>
      <c r="G20" s="7">
        <v>6</v>
      </c>
    </row>
    <row r="21" spans="2:7" ht="26" x14ac:dyDescent="0.6">
      <c r="B21" s="7" t="s">
        <v>60</v>
      </c>
      <c r="C21" s="17">
        <v>4</v>
      </c>
      <c r="D21" s="8" t="str">
        <f t="shared" si="1"/>
        <v>Não comprar</v>
      </c>
    </row>
    <row r="22" spans="2:7" ht="26" x14ac:dyDescent="0.6">
      <c r="B22" s="7" t="s">
        <v>60</v>
      </c>
      <c r="C22" s="17">
        <v>9</v>
      </c>
      <c r="D22" s="8" t="str">
        <f t="shared" si="1"/>
        <v>Não comprar</v>
      </c>
    </row>
    <row r="23" spans="2:7" ht="26" x14ac:dyDescent="0.6">
      <c r="B23" s="7" t="s">
        <v>10</v>
      </c>
      <c r="C23" s="17">
        <v>5</v>
      </c>
      <c r="D23" s="8" t="str">
        <f t="shared" si="1"/>
        <v>Comprar Banana dia 5</v>
      </c>
    </row>
    <row r="24" spans="2:7" ht="26" x14ac:dyDescent="0.6">
      <c r="B24" s="7" t="s">
        <v>10</v>
      </c>
      <c r="C24" s="17">
        <v>9</v>
      </c>
      <c r="D24" s="8" t="str">
        <f t="shared" si="1"/>
        <v>Não comprar</v>
      </c>
    </row>
    <row r="27" spans="2:7" ht="28.5" x14ac:dyDescent="0.65">
      <c r="B27" s="18" t="s">
        <v>59</v>
      </c>
    </row>
    <row r="29" spans="2:7" ht="23.5" x14ac:dyDescent="0.55000000000000004">
      <c r="B29" s="10" t="s">
        <v>102</v>
      </c>
      <c r="F29"/>
    </row>
    <row r="30" spans="2:7" ht="23.5" x14ac:dyDescent="0.55000000000000004">
      <c r="B30" s="10" t="s">
        <v>103</v>
      </c>
      <c r="F30"/>
    </row>
    <row r="31" spans="2:7" ht="23.5" x14ac:dyDescent="0.55000000000000004">
      <c r="B31" s="10" t="s">
        <v>104</v>
      </c>
      <c r="F31"/>
    </row>
    <row r="34" spans="2:10" ht="26" x14ac:dyDescent="0.6">
      <c r="B34" s="6" t="s">
        <v>0</v>
      </c>
      <c r="C34" s="6" t="s">
        <v>70</v>
      </c>
      <c r="D34" s="6" t="s">
        <v>73</v>
      </c>
      <c r="E34" s="6" t="s">
        <v>74</v>
      </c>
      <c r="F34"/>
      <c r="G34" s="19">
        <v>44942</v>
      </c>
    </row>
    <row r="35" spans="2:10" ht="26" x14ac:dyDescent="0.6">
      <c r="B35" s="7" t="s">
        <v>60</v>
      </c>
      <c r="C35" s="19">
        <v>44936</v>
      </c>
      <c r="D35" s="8" t="str">
        <f>IF(AND(C35&gt;=$G$34,C35&lt;=$G$35),"Está","Não está")</f>
        <v>Não está</v>
      </c>
      <c r="E35" s="20" t="str">
        <f>IF(AND(C35&gt;=$G$34,C35&lt;=$G$35,B35="Banana"),"Comprar Banana entre 16/01 e 28/01","Não comprar")</f>
        <v>Não comprar</v>
      </c>
      <c r="F35"/>
      <c r="G35" s="19">
        <v>44954</v>
      </c>
    </row>
    <row r="36" spans="2:10" ht="26" x14ac:dyDescent="0.6">
      <c r="B36" s="7" t="s">
        <v>10</v>
      </c>
      <c r="C36" s="19">
        <v>44942</v>
      </c>
      <c r="D36" s="8" t="str">
        <f t="shared" ref="D36:D40" si="2">IF(AND(C36&gt;=$G$34,C36&lt;=$G$35),"Está","Não está")</f>
        <v>Está</v>
      </c>
      <c r="E36" s="20" t="str">
        <f t="shared" ref="E36:E40" si="3">IF(AND(C36&gt;=$G$34,C36&lt;=$G$35,B36="Banana"),"Comprar Banana entre 16/01 e 28/01","Não comprar")</f>
        <v>Comprar Banana entre 16/01 e 28/01</v>
      </c>
      <c r="F36"/>
      <c r="J36" s="1"/>
    </row>
    <row r="37" spans="2:10" ht="26" x14ac:dyDescent="0.6">
      <c r="B37" s="7" t="s">
        <v>10</v>
      </c>
      <c r="C37" s="19">
        <v>44930</v>
      </c>
      <c r="D37" s="8" t="str">
        <f t="shared" si="2"/>
        <v>Não está</v>
      </c>
      <c r="E37" s="20" t="str">
        <f t="shared" si="3"/>
        <v>Não comprar</v>
      </c>
      <c r="F37"/>
      <c r="G37" s="1"/>
    </row>
    <row r="38" spans="2:10" ht="26" x14ac:dyDescent="0.6">
      <c r="B38" s="7" t="s">
        <v>26</v>
      </c>
      <c r="C38" s="19">
        <v>44946</v>
      </c>
      <c r="D38" s="8" t="str">
        <f t="shared" si="2"/>
        <v>Está</v>
      </c>
      <c r="E38" s="20" t="str">
        <f t="shared" si="3"/>
        <v>Não comprar</v>
      </c>
      <c r="F38"/>
      <c r="G38" s="1"/>
    </row>
    <row r="39" spans="2:10" ht="26" x14ac:dyDescent="0.6">
      <c r="B39" s="7" t="s">
        <v>10</v>
      </c>
      <c r="C39" s="19">
        <v>44929</v>
      </c>
      <c r="D39" s="8" t="str">
        <f t="shared" si="2"/>
        <v>Não está</v>
      </c>
      <c r="E39" s="20" t="str">
        <f t="shared" si="3"/>
        <v>Não comprar</v>
      </c>
      <c r="F39"/>
      <c r="G39" s="1"/>
    </row>
    <row r="40" spans="2:10" ht="26" x14ac:dyDescent="0.6">
      <c r="B40" s="7" t="s">
        <v>10</v>
      </c>
      <c r="C40" s="19">
        <v>44949</v>
      </c>
      <c r="D40" s="8" t="str">
        <f t="shared" si="2"/>
        <v>Está</v>
      </c>
      <c r="E40" s="20" t="str">
        <f t="shared" si="3"/>
        <v>Comprar Banana entre 16/01 e 28/01</v>
      </c>
      <c r="F40"/>
      <c r="G40" s="1"/>
    </row>
    <row r="44" spans="2:10" ht="28.5" x14ac:dyDescent="0.65">
      <c r="B44" s="18" t="s">
        <v>59</v>
      </c>
    </row>
    <row r="46" spans="2:10" ht="23.5" x14ac:dyDescent="0.55000000000000004">
      <c r="B46" s="10" t="s">
        <v>105</v>
      </c>
      <c r="F46"/>
    </row>
    <row r="47" spans="2:10" ht="23.5" x14ac:dyDescent="0.55000000000000004">
      <c r="B47" s="10" t="s">
        <v>106</v>
      </c>
      <c r="F47"/>
    </row>
    <row r="50" spans="2:7" ht="28.5" x14ac:dyDescent="0.65">
      <c r="C50" s="2" t="s">
        <v>32</v>
      </c>
      <c r="D50" s="2" t="s">
        <v>33</v>
      </c>
      <c r="F50"/>
    </row>
    <row r="51" spans="2:7" ht="23.5" x14ac:dyDescent="0.55000000000000004">
      <c r="C51" s="9" t="s">
        <v>34</v>
      </c>
      <c r="D51" s="9" t="s">
        <v>36</v>
      </c>
      <c r="F51"/>
    </row>
    <row r="52" spans="2:7" ht="23.5" x14ac:dyDescent="0.55000000000000004">
      <c r="C52" s="9" t="s">
        <v>35</v>
      </c>
      <c r="D52" s="9" t="s">
        <v>37</v>
      </c>
      <c r="F52"/>
    </row>
    <row r="53" spans="2:7" ht="23.5" x14ac:dyDescent="0.55000000000000004">
      <c r="C53" s="9" t="s">
        <v>38</v>
      </c>
      <c r="D53" s="9" t="s">
        <v>39</v>
      </c>
      <c r="F53"/>
    </row>
    <row r="54" spans="2:7" x14ac:dyDescent="0.35">
      <c r="C54"/>
      <c r="F54"/>
    </row>
    <row r="55" spans="2:7" ht="28.5" x14ac:dyDescent="0.65">
      <c r="B55" s="6" t="s">
        <v>0</v>
      </c>
      <c r="C55" s="6" t="s">
        <v>1</v>
      </c>
      <c r="D55" s="2" t="s">
        <v>36</v>
      </c>
      <c r="E55" s="2" t="s">
        <v>37</v>
      </c>
      <c r="F55" s="2" t="s">
        <v>39</v>
      </c>
      <c r="G55" s="2" t="s">
        <v>2</v>
      </c>
    </row>
    <row r="56" spans="2:7" ht="26" x14ac:dyDescent="0.6">
      <c r="B56" s="7" t="s">
        <v>3</v>
      </c>
      <c r="C56" s="7">
        <v>9</v>
      </c>
      <c r="D56" s="8" t="str">
        <f>IF(AND(C56&gt;=6,C56&lt;=10),"Aprovado","-")</f>
        <v>Aprovado</v>
      </c>
      <c r="E56" s="8" t="str">
        <f>IF(AND(C56&gt;=2,C56&lt;6),"Recuperação","-")</f>
        <v>-</v>
      </c>
      <c r="F56" s="8" t="str">
        <f>IF(C56&lt;2,"Reprovado","-")</f>
        <v>-</v>
      </c>
      <c r="G56" s="8" t="str">
        <f>IF(AND(C56&gt;=6,C56&lt;=10),"Aprovado",
IF(AND(C56&gt;=2,C56&lt;6),"Recuperação","Reprovado"))</f>
        <v>Aprovado</v>
      </c>
    </row>
    <row r="57" spans="2:7" ht="26" x14ac:dyDescent="0.6">
      <c r="B57" s="7" t="s">
        <v>4</v>
      </c>
      <c r="C57" s="7">
        <v>5</v>
      </c>
      <c r="D57" s="8" t="str">
        <f t="shared" ref="D57:D61" si="4">IF(AND(C57&gt;=6,C57&lt;=10),"Aprovado","-")</f>
        <v>-</v>
      </c>
      <c r="E57" s="8" t="str">
        <f t="shared" ref="E57:E61" si="5">IF(AND(C57&gt;=2,C57&lt;6),"Recuperação","-")</f>
        <v>Recuperação</v>
      </c>
      <c r="F57" s="8" t="str">
        <f t="shared" ref="F57:F61" si="6">IF(C57&lt;2,"Reprovado","-")</f>
        <v>-</v>
      </c>
      <c r="G57" s="8" t="str">
        <f t="shared" ref="G57:G61" si="7">IF(AND(C57&gt;=6,C57&lt;=10),"Aprovado",
IF(AND(C57&gt;=2,C57&lt;6),"Recuperação","Reprovado"))</f>
        <v>Recuperação</v>
      </c>
    </row>
    <row r="58" spans="2:7" ht="26" x14ac:dyDescent="0.6">
      <c r="B58" s="7" t="s">
        <v>5</v>
      </c>
      <c r="C58" s="7">
        <v>5</v>
      </c>
      <c r="D58" s="8" t="str">
        <f t="shared" si="4"/>
        <v>-</v>
      </c>
      <c r="E58" s="8" t="str">
        <f t="shared" si="5"/>
        <v>Recuperação</v>
      </c>
      <c r="F58" s="8" t="str">
        <f t="shared" si="6"/>
        <v>-</v>
      </c>
      <c r="G58" s="8" t="str">
        <f t="shared" si="7"/>
        <v>Recuperação</v>
      </c>
    </row>
    <row r="59" spans="2:7" ht="26" x14ac:dyDescent="0.6">
      <c r="B59" s="7" t="s">
        <v>6</v>
      </c>
      <c r="C59" s="7">
        <v>7</v>
      </c>
      <c r="D59" s="8" t="str">
        <f t="shared" si="4"/>
        <v>Aprovado</v>
      </c>
      <c r="E59" s="8" t="str">
        <f t="shared" si="5"/>
        <v>-</v>
      </c>
      <c r="F59" s="8" t="str">
        <f t="shared" si="6"/>
        <v>-</v>
      </c>
      <c r="G59" s="8" t="str">
        <f t="shared" si="7"/>
        <v>Aprovado</v>
      </c>
    </row>
    <row r="60" spans="2:7" ht="26" x14ac:dyDescent="0.6">
      <c r="B60" s="7" t="s">
        <v>31</v>
      </c>
      <c r="C60" s="7">
        <v>1.5</v>
      </c>
      <c r="D60" s="8" t="str">
        <f t="shared" si="4"/>
        <v>-</v>
      </c>
      <c r="E60" s="8" t="str">
        <f t="shared" si="5"/>
        <v>-</v>
      </c>
      <c r="F60" s="8" t="str">
        <f t="shared" si="6"/>
        <v>Reprovado</v>
      </c>
      <c r="G60" s="8" t="str">
        <f t="shared" si="7"/>
        <v>Reprovado</v>
      </c>
    </row>
    <row r="61" spans="2:7" ht="26" x14ac:dyDescent="0.6">
      <c r="B61" s="7" t="s">
        <v>17</v>
      </c>
      <c r="C61" s="7">
        <v>9</v>
      </c>
      <c r="D61" s="8" t="str">
        <f t="shared" si="4"/>
        <v>Aprovado</v>
      </c>
      <c r="E61" s="8" t="str">
        <f t="shared" si="5"/>
        <v>-</v>
      </c>
      <c r="F61" s="8" t="str">
        <f t="shared" si="6"/>
        <v>-</v>
      </c>
      <c r="G61" s="8" t="str">
        <f t="shared" si="7"/>
        <v>Aprovado</v>
      </c>
    </row>
    <row r="65" spans="2:6" ht="31" x14ac:dyDescent="0.7">
      <c r="B65" s="4" t="s">
        <v>59</v>
      </c>
      <c r="D65"/>
      <c r="F65"/>
    </row>
    <row r="66" spans="2:6" ht="31" x14ac:dyDescent="0.7">
      <c r="B66" s="4"/>
      <c r="D66"/>
      <c r="F66"/>
    </row>
    <row r="67" spans="2:6" ht="23.5" x14ac:dyDescent="0.55000000000000004">
      <c r="B67" s="10" t="s">
        <v>107</v>
      </c>
      <c r="D67"/>
      <c r="F67"/>
    </row>
    <row r="68" spans="2:6" ht="23.5" x14ac:dyDescent="0.55000000000000004">
      <c r="B68" s="22" t="s">
        <v>108</v>
      </c>
      <c r="D68"/>
      <c r="F68"/>
    </row>
    <row r="69" spans="2:6" ht="23.5" x14ac:dyDescent="0.55000000000000004">
      <c r="B69" s="22" t="s">
        <v>109</v>
      </c>
      <c r="D69"/>
      <c r="F69"/>
    </row>
    <row r="70" spans="2:6" ht="23.5" x14ac:dyDescent="0.55000000000000004">
      <c r="B70" s="5"/>
      <c r="D70"/>
      <c r="F70"/>
    </row>
    <row r="71" spans="2:6" ht="26" x14ac:dyDescent="0.6">
      <c r="B71" s="6" t="s">
        <v>0</v>
      </c>
      <c r="C71" s="6" t="s">
        <v>99</v>
      </c>
      <c r="D71" s="6" t="s">
        <v>100</v>
      </c>
      <c r="E71" s="6" t="s">
        <v>101</v>
      </c>
      <c r="F71"/>
    </row>
    <row r="72" spans="2:6" ht="26" x14ac:dyDescent="0.6">
      <c r="B72" s="7" t="s">
        <v>93</v>
      </c>
      <c r="C72" s="8" t="str">
        <f>LEFT(B72,2)</f>
        <v>BR</v>
      </c>
      <c r="D72" s="8" t="str">
        <f>RIGHT(B72,4)</f>
        <v>Maça</v>
      </c>
      <c r="E72" s="8" t="str">
        <f>IF(AND(LEFT(B72,2)="BR",RIGHT(LOWER(B72),4)="maça"),
"Maça do Brasil","-")</f>
        <v>Maça do Brasil</v>
      </c>
      <c r="F72"/>
    </row>
    <row r="73" spans="2:6" ht="26" x14ac:dyDescent="0.6">
      <c r="B73" s="7" t="s">
        <v>94</v>
      </c>
      <c r="C73" s="8" t="str">
        <f t="shared" ref="C73:C77" si="8">LEFT(B73,2)</f>
        <v>BR</v>
      </c>
      <c r="D73" s="8" t="str">
        <f t="shared" ref="D73:D77" si="9">RIGHT(B73,4)</f>
        <v>maÇa</v>
      </c>
      <c r="E73" s="8" t="str">
        <f t="shared" ref="E73:E77" si="10">IF(AND(LEFT(B73,2)="BR",RIGHT(LOWER(B73),4)="maça"),
"Maça do Brasil","-")</f>
        <v>Maça do Brasil</v>
      </c>
      <c r="F73"/>
    </row>
    <row r="74" spans="2:6" ht="26" x14ac:dyDescent="0.6">
      <c r="B74" s="7" t="s">
        <v>95</v>
      </c>
      <c r="C74" s="8" t="str">
        <f t="shared" si="8"/>
        <v>AR</v>
      </c>
      <c r="D74" s="8" t="str">
        <f t="shared" si="9"/>
        <v>MAçA</v>
      </c>
      <c r="E74" s="8" t="str">
        <f t="shared" si="10"/>
        <v>-</v>
      </c>
      <c r="F74"/>
    </row>
    <row r="75" spans="2:6" ht="26" x14ac:dyDescent="0.6">
      <c r="B75" s="7" t="s">
        <v>96</v>
      </c>
      <c r="C75" s="8" t="str">
        <f t="shared" si="8"/>
        <v>BR</v>
      </c>
      <c r="D75" s="8" t="str">
        <f t="shared" si="9"/>
        <v>BR-.</v>
      </c>
      <c r="E75" s="8" t="str">
        <f t="shared" si="10"/>
        <v>-</v>
      </c>
      <c r="F75"/>
    </row>
    <row r="76" spans="2:6" ht="26" x14ac:dyDescent="0.6">
      <c r="B76" s="7" t="s">
        <v>97</v>
      </c>
      <c r="C76" s="8" t="str">
        <f t="shared" si="8"/>
        <v>CL</v>
      </c>
      <c r="D76" s="8" t="str">
        <f t="shared" si="9"/>
        <v>CL-W</v>
      </c>
      <c r="E76" s="8" t="str">
        <f t="shared" si="10"/>
        <v>-</v>
      </c>
      <c r="F76"/>
    </row>
    <row r="77" spans="2:6" ht="26" x14ac:dyDescent="0.6">
      <c r="B77" s="7" t="s">
        <v>98</v>
      </c>
      <c r="C77" s="8" t="str">
        <f t="shared" si="8"/>
        <v>BR</v>
      </c>
      <c r="D77" s="8" t="str">
        <f t="shared" si="9"/>
        <v>MaÇA</v>
      </c>
      <c r="E77" s="8" t="str">
        <f t="shared" si="10"/>
        <v>Maça do Brasil</v>
      </c>
      <c r="F77"/>
    </row>
    <row r="78" spans="2:6" x14ac:dyDescent="0.35">
      <c r="D78"/>
      <c r="F78"/>
    </row>
    <row r="79" spans="2:6" x14ac:dyDescent="0.35">
      <c r="D79"/>
      <c r="F79"/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B4F3-2642-4ACA-9045-BBFB2AD95DBC}">
  <dimension ref="B3:F43"/>
  <sheetViews>
    <sheetView showGridLines="0" topLeftCell="A24" workbookViewId="0">
      <selection activeCell="D41" sqref="D41"/>
    </sheetView>
  </sheetViews>
  <sheetFormatPr defaultRowHeight="14.5" x14ac:dyDescent="0.35"/>
  <cols>
    <col min="2" max="2" width="27.36328125" style="1" customWidth="1"/>
    <col min="3" max="3" width="64.08984375" style="1" customWidth="1"/>
    <col min="4" max="4" width="39.54296875" style="1" customWidth="1"/>
    <col min="5" max="5" width="23.6328125" customWidth="1"/>
    <col min="6" max="6" width="27.36328125" style="1" customWidth="1"/>
    <col min="7" max="7" width="27.36328125" customWidth="1"/>
    <col min="8" max="8" width="25.1796875" customWidth="1"/>
  </cols>
  <sheetData>
    <row r="3" spans="2:6" ht="23.5" x14ac:dyDescent="0.55000000000000004">
      <c r="B3" s="10" t="s">
        <v>111</v>
      </c>
      <c r="F3"/>
    </row>
    <row r="4" spans="2:6" ht="23.5" x14ac:dyDescent="0.55000000000000004">
      <c r="B4" s="10" t="s">
        <v>112</v>
      </c>
      <c r="F4"/>
    </row>
    <row r="5" spans="2:6" ht="23.5" x14ac:dyDescent="0.55000000000000004">
      <c r="B5"/>
      <c r="C5" s="5"/>
      <c r="F5"/>
    </row>
    <row r="7" spans="2:6" ht="26" x14ac:dyDescent="0.6">
      <c r="B7" s="6" t="s">
        <v>75</v>
      </c>
      <c r="C7" s="6" t="s">
        <v>2</v>
      </c>
      <c r="D7" s="6" t="s">
        <v>110</v>
      </c>
      <c r="F7"/>
    </row>
    <row r="8" spans="2:6" ht="26" x14ac:dyDescent="0.6">
      <c r="B8" s="7" t="s">
        <v>27</v>
      </c>
      <c r="C8" s="8" t="str">
        <f>IF(OR(B8="A",B8="B",B8="C"),"Letra A, B ou C","Outra letra")</f>
        <v>Letra A, B ou C</v>
      </c>
      <c r="D8" s="8" t="str" cm="1">
        <f t="array" ref="D8">IF(SUM(IF(B8={"A";"B";"C"},1,0))&gt;=1,"Letra A, B ou C","-")</f>
        <v>Letra A, B ou C</v>
      </c>
      <c r="F8"/>
    </row>
    <row r="9" spans="2:6" ht="26" x14ac:dyDescent="0.6">
      <c r="B9" s="7" t="s">
        <v>28</v>
      </c>
      <c r="C9" s="8" t="str">
        <f t="shared" ref="C9:C14" si="0">IF(OR(B9="A",B9="B",B9="C"),"Letra A, B ou C","Outra letra")</f>
        <v>Letra A, B ou C</v>
      </c>
      <c r="D9" s="8" t="str" cm="1">
        <f t="array" ref="D9">IF(SUM(IF(B9={"A";"B";"C"},1,0))&gt;=1,"Letra A, B ou C","-")</f>
        <v>Letra A, B ou C</v>
      </c>
      <c r="E9" s="1" t="str" cm="1">
        <f t="array" ref="E9:E10">IF(B9={"A";"B"},"-","")</f>
        <v/>
      </c>
      <c r="F9"/>
    </row>
    <row r="10" spans="2:6" ht="26" x14ac:dyDescent="0.6">
      <c r="B10" s="7" t="s">
        <v>30</v>
      </c>
      <c r="C10" s="8" t="str">
        <f t="shared" si="0"/>
        <v>Outra letra</v>
      </c>
      <c r="D10" s="8" t="str" cm="1">
        <f t="array" ref="D10">IF(SUM(IF(B10={"A";"B";"C"},1,0))&gt;=1,"Letra A, B ou C","-")</f>
        <v>-</v>
      </c>
      <c r="E10" t="str">
        <v>-</v>
      </c>
    </row>
    <row r="11" spans="2:6" ht="26" x14ac:dyDescent="0.6">
      <c r="B11" s="7" t="s">
        <v>25</v>
      </c>
      <c r="C11" s="8" t="str">
        <f t="shared" si="0"/>
        <v>Outra letra</v>
      </c>
      <c r="D11" s="8" t="str" cm="1">
        <f t="array" ref="D11">IF(SUM(IF(B11={"A";"B";"C"},1,0))&gt;=1,"Letra A, B ou C","-")</f>
        <v>-</v>
      </c>
    </row>
    <row r="12" spans="2:6" ht="26" x14ac:dyDescent="0.6">
      <c r="B12" s="7" t="s">
        <v>27</v>
      </c>
      <c r="C12" s="8" t="str">
        <f t="shared" si="0"/>
        <v>Letra A, B ou C</v>
      </c>
      <c r="D12" s="8" t="str" cm="1">
        <f t="array" ref="D12">IF(SUM(IF(B12={"A";"B";"C"},1,0))&gt;=1,"Letra A, B ou C","-")</f>
        <v>Letra A, B ou C</v>
      </c>
    </row>
    <row r="13" spans="2:6" ht="26" x14ac:dyDescent="0.6">
      <c r="B13" s="7" t="s">
        <v>29</v>
      </c>
      <c r="C13" s="8" t="str">
        <f t="shared" si="0"/>
        <v>Letra A, B ou C</v>
      </c>
      <c r="D13" s="8" t="str" cm="1">
        <f t="array" ref="D13">IF(SUM(IF(B13={"A";"B";"C"},1,0))&gt;=1,"Letra A, B ou C","-")</f>
        <v>Letra A, B ou C</v>
      </c>
    </row>
    <row r="14" spans="2:6" ht="26" x14ac:dyDescent="0.6">
      <c r="C14" s="29"/>
      <c r="D14" s="8"/>
    </row>
    <row r="16" spans="2:6" ht="28.5" x14ac:dyDescent="0.65">
      <c r="B16" s="18" t="s">
        <v>59</v>
      </c>
    </row>
    <row r="18" spans="2:6" ht="23.5" x14ac:dyDescent="0.55000000000000004">
      <c r="B18" s="10" t="s">
        <v>113</v>
      </c>
      <c r="F18"/>
    </row>
    <row r="19" spans="2:6" ht="23.5" x14ac:dyDescent="0.55000000000000004">
      <c r="B19" s="10" t="s">
        <v>123</v>
      </c>
      <c r="F19"/>
    </row>
    <row r="20" spans="2:6" ht="23.5" x14ac:dyDescent="0.55000000000000004">
      <c r="B20" s="10" t="s">
        <v>114</v>
      </c>
      <c r="F20"/>
    </row>
    <row r="23" spans="2:6" ht="26" x14ac:dyDescent="0.6">
      <c r="B23" s="6" t="s">
        <v>79</v>
      </c>
      <c r="C23" s="6" t="s">
        <v>2</v>
      </c>
    </row>
    <row r="24" spans="2:6" ht="26" x14ac:dyDescent="0.6">
      <c r="B24" s="7" t="s">
        <v>80</v>
      </c>
      <c r="C24" s="8" t="str" cm="1">
        <f t="array" ref="C24">IF(SUM(IF(B24={"Azul";"Verde"},1,0))&gt;=1,"A cor é Azul ou Verde","-")</f>
        <v>A cor é Azul ou Verde</v>
      </c>
    </row>
    <row r="25" spans="2:6" ht="26" x14ac:dyDescent="0.6">
      <c r="B25" s="7" t="s">
        <v>81</v>
      </c>
      <c r="C25" s="8" t="str" cm="1">
        <f t="array" ref="C25">IF(SUM(IF(B25={"Azul";"Verde"},1,0))&gt;=1,"A cor é Azul ou Verde","-")</f>
        <v>-</v>
      </c>
    </row>
    <row r="26" spans="2:6" ht="26" x14ac:dyDescent="0.6">
      <c r="B26" s="7" t="s">
        <v>82</v>
      </c>
      <c r="C26" s="8" t="str" cm="1">
        <f t="array" ref="C26">IF(SUM(IF(B26={"Azul";"Verde"},1,0))&gt;=1,"A cor é Azul ou Verde","-")</f>
        <v>-</v>
      </c>
    </row>
    <row r="27" spans="2:6" ht="26" x14ac:dyDescent="0.6">
      <c r="B27" s="7" t="s">
        <v>83</v>
      </c>
      <c r="C27" s="8" t="str" cm="1">
        <f t="array" ref="C27">IF(SUM(IF(B27={"Azul";"Verde"},1,0))&gt;=1,"A cor é Azul ou Verde","-")</f>
        <v>A cor é Azul ou Verde</v>
      </c>
    </row>
    <row r="28" spans="2:6" ht="26" x14ac:dyDescent="0.6">
      <c r="B28" s="7" t="s">
        <v>84</v>
      </c>
      <c r="C28" s="8" t="str" cm="1">
        <f t="array" ref="C28">IF(SUM(IF(B28={"Azul";"Verde"},1,0))&gt;=1,"A cor é Azul ou Verde","-")</f>
        <v>-</v>
      </c>
    </row>
    <row r="29" spans="2:6" ht="26" x14ac:dyDescent="0.6">
      <c r="C29" s="8" t="str" cm="1">
        <f t="array" ref="C29">IF(SUM(IF(B29={"Azul";"Verde"},1,0))&gt;=1,"A cor é Azul ou Verde","-")</f>
        <v>-</v>
      </c>
    </row>
    <row r="31" spans="2:6" ht="28.5" x14ac:dyDescent="0.65">
      <c r="B31" s="18" t="s">
        <v>59</v>
      </c>
    </row>
    <row r="33" spans="2:6" ht="23.5" x14ac:dyDescent="0.55000000000000004">
      <c r="B33" s="10" t="s">
        <v>115</v>
      </c>
      <c r="F33"/>
    </row>
    <row r="34" spans="2:6" ht="23.5" x14ac:dyDescent="0.55000000000000004">
      <c r="B34" s="10" t="s">
        <v>116</v>
      </c>
      <c r="F34"/>
    </row>
    <row r="35" spans="2:6" ht="23.5" x14ac:dyDescent="0.55000000000000004">
      <c r="B35" s="10" t="s">
        <v>114</v>
      </c>
      <c r="F35"/>
    </row>
    <row r="38" spans="2:6" ht="26" x14ac:dyDescent="0.6">
      <c r="B38" s="6" t="s">
        <v>76</v>
      </c>
      <c r="C38" s="6" t="s">
        <v>2</v>
      </c>
    </row>
    <row r="39" spans="2:6" ht="26" x14ac:dyDescent="0.6">
      <c r="B39" s="7">
        <v>5</v>
      </c>
      <c r="C39" s="8" t="str">
        <f>IF(OR(B39&lt;10,B39&gt;50),"Número menor que 10 ou maior que 50","-")</f>
        <v>Número menor que 10 ou maior que 50</v>
      </c>
    </row>
    <row r="40" spans="2:6" ht="26" x14ac:dyDescent="0.6">
      <c r="B40" s="7">
        <v>79</v>
      </c>
      <c r="C40" s="8" t="str">
        <f t="shared" ref="C40:C43" si="1">IF(OR(B40&lt;10,B40&gt;50),"Número menor que 10 ou maior que 50","-")</f>
        <v>Número menor que 10 ou maior que 50</v>
      </c>
    </row>
    <row r="41" spans="2:6" ht="26" x14ac:dyDescent="0.6">
      <c r="B41" s="7">
        <v>45</v>
      </c>
      <c r="C41" s="8" t="str">
        <f t="shared" si="1"/>
        <v>-</v>
      </c>
    </row>
    <row r="42" spans="2:6" ht="26" x14ac:dyDescent="0.6">
      <c r="B42" s="7">
        <v>98</v>
      </c>
      <c r="C42" s="8" t="str">
        <f t="shared" si="1"/>
        <v>Número menor que 10 ou maior que 50</v>
      </c>
    </row>
    <row r="43" spans="2:6" ht="26" x14ac:dyDescent="0.6">
      <c r="B43" s="7">
        <v>31</v>
      </c>
      <c r="C43" s="8" t="str">
        <f t="shared" si="1"/>
        <v>-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Professor Se ex. 1</vt:lpstr>
      <vt:lpstr>Professor Se ex. 2</vt:lpstr>
      <vt:lpstr>Professor Se Aninhada</vt:lpstr>
      <vt:lpstr>Professor Desafio</vt:lpstr>
      <vt:lpstr>Professor Se com E</vt:lpstr>
      <vt:lpstr>Professor Se com Ou</vt:lpstr>
      <vt:lpstr>Curiosidades</vt:lpstr>
      <vt:lpstr>Aluno Se ex. 1</vt:lpstr>
      <vt:lpstr>Aluno Se ex. 2</vt:lpstr>
      <vt:lpstr>Aluno Se Aninhada</vt:lpstr>
      <vt:lpstr>Aluno Desafio</vt:lpstr>
      <vt:lpstr>Aluno Se com E</vt:lpstr>
      <vt:lpstr>Aluno Se com 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2020-07-19T00:45:10Z</dcterms:created>
  <dcterms:modified xsi:type="dcterms:W3CDTF">2026-04-14T19:49:30Z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2026-04-13T23:24:14Z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6019f504-d5e8-417c-8fd5-dd734b04fe77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
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nelcom-my.sharepoint.com/personal/felipe_viana2_enel_com/Documents/Documentos/Faculdade/Udemy/Excell/excel-data-analytics-portfolio/Seção 9/"/>
    </mc:Choice>
  </mc:AlternateContent>
  <xr:revisionPtr revIDLastSave="51" documentId="8_{9F666AC6-F291-4768-9492-EC3A5F19BE7F}" xr6:coauthVersionLast="47" xr6:coauthVersionMax="47" xr10:uidLastSave="{ADA9F606-6276-4A6B-8A95-DA6837BFAD2B}"/>
  <bookViews>
    <workbookView xWindow="-110" yWindow="-110" windowWidth="19420" windowHeight="11500" tabRatio="390" xr2:uid="{2E65B82F-5866-47B8-BB74-66991D6C79DA}"/>
  </bookViews>
  <sheets>
    <sheet name="Tabela Dinâmica" sheetId="10" r:id="rId1"/>
    <sheet name="Dados" sheetId="8" r:id="rId2"/>
  </sheets>
  <definedNames>
    <definedName name="SegmentaçãodeDados_Cargo">#N/A</definedName>
    <definedName name="SegmentaçãodeDados_Promoção">#N/A</definedName>
  </definedNames>
  <calcPr calcId="191029"/>
  <pivotCaches>
    <pivotCache cacheId="102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<sst xmlns="http://schemas.openxmlformats.org/spreadsheetml/2006/main" count="128" uniqueCount="43">
  <si>
    <t>Bruna Alves</t>
  </si>
  <si>
    <t>Afonso Alves</t>
  </si>
  <si>
    <t>Ryan Merryman</t>
  </si>
  <si>
    <t>Robson Martins</t>
  </si>
  <si>
    <t>Erika Souza Aguiar</t>
  </si>
  <si>
    <t>Tiago de Oliveira</t>
  </si>
  <si>
    <t>Frederico Rubens</t>
  </si>
  <si>
    <t>Nome</t>
  </si>
  <si>
    <t>CPF</t>
  </si>
  <si>
    <t>123.456.789-10</t>
  </si>
  <si>
    <t>123.456.789-11</t>
  </si>
  <si>
    <t>123.456.789-13</t>
  </si>
  <si>
    <t>123.456.789-14</t>
  </si>
  <si>
    <t>123.456.789-15</t>
  </si>
  <si>
    <t>123.456.789-16</t>
  </si>
  <si>
    <t>123.456.789-17</t>
  </si>
  <si>
    <t>123.456.789-18</t>
  </si>
  <si>
    <t>123.456.789-19</t>
  </si>
  <si>
    <t>123.456.789-20</t>
  </si>
  <si>
    <t>123.456.789-21</t>
  </si>
  <si>
    <t>Idade</t>
  </si>
  <si>
    <t>Salário</t>
  </si>
  <si>
    <t>Cargo</t>
  </si>
  <si>
    <t>Junior</t>
  </si>
  <si>
    <t>Estagiário</t>
  </si>
  <si>
    <t>Supervisor</t>
  </si>
  <si>
    <t>Pleno</t>
  </si>
  <si>
    <t>Senior</t>
  </si>
  <si>
    <t>Promoção</t>
  </si>
  <si>
    <t>Sim</t>
  </si>
  <si>
    <t>Não</t>
  </si>
  <si>
    <t>Rótulos de Linha</t>
  </si>
  <si>
    <t>Total Geral</t>
  </si>
  <si>
    <t>Contagem de CPF</t>
  </si>
  <si>
    <t>Soma de Salário</t>
  </si>
  <si>
    <t>123.456.789-12</t>
  </si>
  <si>
    <t>123.456.789-22</t>
  </si>
  <si>
    <t>Juliana Pires</t>
  </si>
  <si>
    <t>Henrique Silva</t>
  </si>
  <si>
    <t>Thiago Santana</t>
  </si>
  <si>
    <t>Felipe Borges</t>
  </si>
  <si>
    <t>Kaliane Abreu</t>
  </si>
  <si>
    <t>Soma de 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</si>
</sst>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right"/>
    </xf>
    <xf numFmtId="44" fontId="0" fillId="0" borderId="1" xfId="1" applyFont="1" applyBorder="1"/>
    <xf numFmtId="0" fontId="2" fillId="2" borderId="2" xfId="0" applyFont="1" applyFill="1" applyBorder="1"/>
    <xf numFmtId="0" fontId="2" fillId="2" borderId="2" xfId="0" applyFont="1" applyFill="1" applyBorder="1" applyAlignment="1">
      <alignment horizontal="right"/>
    </xf>
    <xf numFmtId="44" fontId="2" fillId="2" borderId="2" xfId="1" applyFont="1" applyFill="1" applyBorder="1" applyAlignment="1">
      <alignment horizontal="right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44" fontId="0" fillId="0" borderId="0" xfId="0" applyNumberFormat="1"/>
    <xf numFmtId="164" fontId="0" fillId="0" borderId="0" xfId="2" applyNumberFormat="1" applyFont="1"/>
    <xf numFmtId="164" fontId="0" fillId="0" borderId="0" xfId="0" applyNumberFormat="1"/>
  </cellXfs>
  <cellStyles count="3">
    <cellStyle name="Moeda" xfId="1" builtinId="4"/>
    <cellStyle name="Normal" xfId="0" builtinId="0"/>
    <cellStyle name="Vírgula" xfId="2" builtinId="3"/>
  </cellStyles>
  <dxfs count="2">
    <dxf>
      <numFmt numFmtId="164" formatCode="_-[$R$-416]\ * #,##0.00_-;\-[$R$-416]\ * #,##0.00_-;_-[$R$-416]\ * &quot;-&quot;??_-;_-@_-"/>
    </dxf>
    <dxf>
      <numFmt numFmtId="164" formatCode="_-[$R$-416]\ * #,##0.00_-;\-[$R$-416]\ * #,##0.00_-;_-[$R$-416]\ 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pivotCacheDefinition" Target="pivotCache/pivotCacheDefinition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microsoft.com/office/2007/relationships/slicerCache" Target="slicerCaches/slicerCache2.xml"/><Relationship Id="rId10" Type="http://schemas.openxmlformats.org/officeDocument/2006/relationships/customXml" Target="../customXml/item2.xml"/><Relationship Id="rId4" Type="http://schemas.microsoft.com/office/2007/relationships/slicerCache" Target="slicerCaches/slicerCache1.xml"/><Relationship Id="rId9" Type="http://schemas.openxmlformats.org/officeDocument/2006/relationships/customXml" Target="../customXml/item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311150</xdr:colOff>
      <xdr:row>0</xdr:row>
      <xdr:rowOff>76200</xdr:rowOff>
    </xdr:from>
    <xdr:to>
      <xdr:col>4</xdr:col>
      <xdr:colOff>215900</xdr:colOff>
      <xdr:row>8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romoção">
              <a:extLst>
                <a:ext uri="{FF2B5EF4-FFF2-40B4-BE49-F238E27FC236}">
                  <a16:creationId xmlns:a16="http://schemas.microsoft.com/office/drawing/2014/main" id="{DF1EE163-292A-546A-DAF5-F005EBC5436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moçã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330450" y="76200"/>
              <a:ext cx="1822450" cy="14922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444500</xdr:colOff>
      <xdr:row>0</xdr:row>
      <xdr:rowOff>69851</xdr:rowOff>
    </xdr:from>
    <xdr:to>
      <xdr:col>2</xdr:col>
      <xdr:colOff>254000</xdr:colOff>
      <xdr:row>8</xdr:row>
      <xdr:rowOff>95250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Cargo">
              <a:extLst>
                <a:ext uri="{FF2B5EF4-FFF2-40B4-BE49-F238E27FC236}">
                  <a16:creationId xmlns:a16="http://schemas.microsoft.com/office/drawing/2014/main" id="{6058E6C5-2977-60C1-431B-9A65A915B2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rgo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44500" y="69851"/>
              <a:ext cx="1828800" cy="14985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 Gomes Viana Da Silva, Enel 2" refreshedDate="46223.523575462961" createdVersion="8" refreshedVersion="8" minRefreshableVersion="3" recordCount="13" xr:uid="{47E15D4B-475A-49E6-A04B-4889C7D78035}">
  <cacheSource type="worksheet">
    <worksheetSource ref="A1:F14" sheet="Dados"/>
  </cacheSource>
  <cacheFields count="6">
    <cacheField name="CPF" numFmtId="0">
      <sharedItems count="13">
        <s v="123.456.789-10"/>
        <s v="123.456.789-11"/>
        <s v="123.456.789-12"/>
        <s v="123.456.789-13"/>
        <s v="123.456.789-14"/>
        <s v="123.456.789-15"/>
        <s v="123.456.789-16"/>
        <s v="123.456.789-17"/>
        <s v="123.456.789-18"/>
        <s v="123.456.789-19"/>
        <s v="123.456.789-20"/>
        <s v="123.456.789-21"/>
        <s v="123.456.789-22"/>
      </sharedItems>
    </cacheField>
    <cacheField name="Nome" numFmtId="0">
      <sharedItems count="12">
        <s v="Bruna Alves"/>
        <s v="Afonso Alves"/>
        <s v="Juliana Pires"/>
        <s v="Henrique Silva"/>
        <s v="Kaliane Abreu"/>
        <s v="Ryan Merryman"/>
        <s v="Robson Martins"/>
        <s v="Thiago Santana"/>
        <s v="Erika Souza Aguiar"/>
        <s v="Felipe Borges"/>
        <s v="Tiago de Oliveira"/>
        <s v="Frederico Rubens"/>
      </sharedItems>
    </cacheField>
    <cacheField name="Cargo" numFmtId="0">
      <sharedItems count="5">
        <s v="Junior"/>
        <s v="Estagiário"/>
        <s v="Supervisor"/>
        <s v="Pleno"/>
        <s v="Senior"/>
      </sharedItems>
    </cacheField>
    <cacheField name="Promoção" numFmtId="0">
      <sharedItems count="2">
        <s v="Sim"/>
        <s v="Não"/>
      </sharedItems>
    </cacheField>
    <cacheField name="Idade" numFmtId="0">
      <sharedItems containsSemiMixedTypes="0" containsString="0" containsNumber="1" containsInteger="1" minValue="23" maxValue="26"/>
    </cacheField>
    <cacheField name="Salário" numFmtId="44">
      <sharedItems containsSemiMixedTypes="0" containsString="0" containsNumber="1" containsInteger="1" minValue="100" maxValue="5000"/>
    </cacheField>
  </cacheFields>
  <extLst>
    <ext xmlns:x14="http://schemas.microsoft.com/office/spreadsheetml/2009/9/main" uri="{725AE2AE-9491-48be-B2B4-4EB974FC3084}">
      <x14:pivotCacheDefinition pivotCacheId="63899992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">
  <r>
    <x v="0"/>
    <x v="0"/>
    <x v="0"/>
    <x v="0"/>
    <n v="23"/>
    <n v="2000"/>
  </r>
  <r>
    <x v="1"/>
    <x v="1"/>
    <x v="1"/>
    <x v="1"/>
    <n v="23"/>
    <n v="100"/>
  </r>
  <r>
    <x v="2"/>
    <x v="2"/>
    <x v="2"/>
    <x v="1"/>
    <n v="24"/>
    <n v="5000"/>
  </r>
  <r>
    <x v="3"/>
    <x v="3"/>
    <x v="1"/>
    <x v="0"/>
    <n v="23"/>
    <n v="100"/>
  </r>
  <r>
    <x v="4"/>
    <x v="4"/>
    <x v="2"/>
    <x v="1"/>
    <n v="26"/>
    <n v="5000"/>
  </r>
  <r>
    <x v="5"/>
    <x v="5"/>
    <x v="2"/>
    <x v="1"/>
    <n v="26"/>
    <n v="5000"/>
  </r>
  <r>
    <x v="6"/>
    <x v="6"/>
    <x v="3"/>
    <x v="0"/>
    <n v="26"/>
    <n v="3000"/>
  </r>
  <r>
    <x v="7"/>
    <x v="7"/>
    <x v="3"/>
    <x v="0"/>
    <n v="26"/>
    <n v="3000"/>
  </r>
  <r>
    <x v="8"/>
    <x v="8"/>
    <x v="3"/>
    <x v="1"/>
    <n v="26"/>
    <n v="3000"/>
  </r>
  <r>
    <x v="9"/>
    <x v="9"/>
    <x v="4"/>
    <x v="1"/>
    <n v="26"/>
    <n v="4000"/>
  </r>
  <r>
    <x v="10"/>
    <x v="10"/>
    <x v="4"/>
    <x v="1"/>
    <n v="26"/>
    <n v="4000"/>
  </r>
  <r>
    <x v="11"/>
    <x v="11"/>
    <x v="4"/>
    <x v="1"/>
    <n v="26"/>
    <n v="4000"/>
  </r>
  <r>
    <x v="12"/>
    <x v="11"/>
    <x v="4"/>
    <x v="1"/>
    <n v="26"/>
    <n v="4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765DC8-B07B-4536-A09E-B7CE71317EB9}" name="Tabela dinâmica3" cacheId="1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10:G24" firstHeaderRow="0" firstDataRow="1" firstDataCol="4"/>
  <pivotFields count="6">
    <pivotField axis="axisRow" compact="0" outline="0" showAll="0" defaultSubtota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2">
        <item x="1"/>
        <item x="0"/>
        <item x="8"/>
        <item x="9"/>
        <item x="11"/>
        <item x="3"/>
        <item x="2"/>
        <item x="4"/>
        <item x="6"/>
        <item x="5"/>
        <item x="7"/>
        <item x="1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">
        <item x="1"/>
        <item x="0"/>
        <item x="3"/>
        <item x="4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3"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44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4">
    <field x="0"/>
    <field x="1"/>
    <field x="2"/>
    <field x="3"/>
  </rowFields>
  <rowItems count="14">
    <i>
      <x/>
      <x v="1"/>
      <x v="1"/>
      <x v="1"/>
    </i>
    <i>
      <x v="1"/>
      <x/>
      <x/>
      <x/>
    </i>
    <i>
      <x v="2"/>
      <x v="6"/>
      <x v="4"/>
      <x/>
    </i>
    <i>
      <x v="3"/>
      <x v="5"/>
      <x/>
      <x v="1"/>
    </i>
    <i>
      <x v="4"/>
      <x v="7"/>
      <x v="4"/>
      <x/>
    </i>
    <i>
      <x v="5"/>
      <x v="9"/>
      <x v="4"/>
      <x/>
    </i>
    <i>
      <x v="6"/>
      <x v="8"/>
      <x v="2"/>
      <x v="1"/>
    </i>
    <i>
      <x v="7"/>
      <x v="10"/>
      <x v="2"/>
      <x v="1"/>
    </i>
    <i>
      <x v="8"/>
      <x v="2"/>
      <x v="2"/>
      <x/>
    </i>
    <i>
      <x v="9"/>
      <x v="3"/>
      <x v="3"/>
      <x/>
    </i>
    <i>
      <x v="10"/>
      <x v="11"/>
      <x v="3"/>
      <x/>
    </i>
    <i>
      <x v="11"/>
      <x v="4"/>
      <x v="3"/>
      <x/>
    </i>
    <i>
      <x v="12"/>
      <x v="4"/>
      <x v="3"/>
      <x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Idade" fld="4" baseField="0" baseItem="0"/>
    <dataField name="Soma de Salário" fld="5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6D39683-EF83-4DBB-BA72-9DCC13D4C65B}" name="Tabela dinâmica2" cacheId="1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11:J14" firstHeaderRow="0" firstDataRow="1" firstDataCol="1"/>
  <pivotFields count="6">
    <pivotField dataField="1" showAll="0"/>
    <pivotField showAll="0"/>
    <pivotField axis="axisRow" showAll="0">
      <items count="6">
        <item x="1"/>
        <item x="0"/>
        <item x="3"/>
        <item x="4"/>
        <item x="2"/>
        <item t="default"/>
      </items>
    </pivotField>
    <pivotField axis="axisRow" showAll="0">
      <items count="3">
        <item sd="0" x="1"/>
        <item sd="0" x="0"/>
        <item t="default"/>
      </items>
    </pivotField>
    <pivotField showAll="0"/>
    <pivotField dataField="1" numFmtId="44" showAll="0"/>
  </pivotFields>
  <rowFields count="2">
    <field x="3"/>
    <field x="2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Contagem de CPF" fld="0" subtotal="count" baseField="0" baseItem="0"/>
    <dataField name="Soma de Salário" fld="5" baseField="0" baseItem="0" numFmtId="164"/>
  </dataFields>
  <formats count="2"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4BF2E1-0DE6-4613-87A2-3FC2D7382D79}" name="Tabela dinâmica1" cacheId="10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H2:I5" firstHeaderRow="1" firstDataRow="1" firstDataCol="1"/>
  <pivotFields count="6">
    <pivotField dataField="1" showAll="0"/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numFmtId="44" showAll="0"/>
  </pivotFields>
  <rowFields count="1">
    <field x="3"/>
  </rowFields>
  <rowItems count="3">
    <i>
      <x/>
    </i>
    <i>
      <x v="1"/>
    </i>
    <i t="grand">
      <x/>
    </i>
  </rowItems>
  <colItems count="1">
    <i/>
  </colItems>
  <dataFields count="1">
    <dataField name="Contagem de CPF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romoção" xr10:uid="{E8817A18-3537-4963-8585-4008809EA1B5}" sourceName="Promoção">
  <pivotTables>
    <pivotTable tabId="10" name="Tabela dinâmica3"/>
  </pivotTables>
  <data>
    <tabular pivotCacheId="638999921">
      <items count="2">
        <i x="1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Cargo" xr10:uid="{6B2EFFD2-A909-410A-8B97-9BC6CC22B285}" sourceName="Cargo">
  <pivotTables>
    <pivotTable tabId="10" name="Tabela dinâmica3"/>
  </pivotTables>
  <data>
    <tabular pivotCacheId="638999921">
      <items count="5">
        <i x="1" s="1"/>
        <i x="0" s="1"/>
        <i x="3" s="1"/>
        <i x="4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romoção" xr10:uid="{9958BF9E-061F-4A98-AED7-DF61F74A7CB2}" cache="SegmentaçãodeDados_Promoção" caption="Promoção" style="SlicerStyleLight4" rowHeight="241300"/>
  <slicer name="Cargo" xr10:uid="{B0A22806-0F04-4F14-A860-5175259247CB}" cache="SegmentaçãodeDados_Cargo" caption="Cargo" style="SlicerStyleLight4" rowHeight="241300"/>
</slicer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D51FB-6E20-4104-9809-2A192A85E5E4}">
  <dimension ref="B10:G24"/>
  <sheetViews>
    <sheetView showGridLines="0" tabSelected="1" workbookViewId="0">
      <selection activeCell="F6" sqref="F6"/>
    </sheetView>
  </sheetViews>
  <sheetFormatPr defaultRowHeight="14.5" x14ac:dyDescent="0.35"/>
  <cols>
    <col min="2" max="2" width="20.1796875" bestFit="1" customWidth="1"/>
    <col min="3" max="3" width="13.26953125" bestFit="1" customWidth="1"/>
    <col min="4" max="4" width="14.1796875" bestFit="1" customWidth="1"/>
    <col min="5" max="5" width="11.6328125" bestFit="1" customWidth="1"/>
    <col min="6" max="6" width="13.26953125" bestFit="1" customWidth="1"/>
    <col min="7" max="7" width="14.1796875" bestFit="1" customWidth="1"/>
  </cols>
  <sheetData>
    <row r="10" spans="2:7" x14ac:dyDescent="0.35">
      <c r="B10" s="7" t="s">
        <v>8</v>
      </c>
      <c r="C10" s="7" t="s">
        <v>7</v>
      </c>
      <c r="D10" s="7" t="s">
        <v>22</v>
      </c>
      <c r="E10" s="7" t="s">
        <v>28</v>
      </c>
      <c r="F10" t="s">
        <v>42</v>
      </c>
      <c r="G10" t="s">
        <v>34</v>
      </c>
    </row>
    <row r="11" spans="2:7" x14ac:dyDescent="0.35">
      <c r="B11" t="s">
        <v>9</v>
      </c>
      <c r="C11" t="s">
        <v>0</v>
      </c>
      <c r="D11" t="s">
        <v>23</v>
      </c>
      <c r="E11" t="s">
        <v>29</v>
      </c>
      <c r="F11" s="9">
        <v>23</v>
      </c>
      <c r="G11" s="10">
        <v>2000</v>
      </c>
    </row>
    <row r="12" spans="2:7" x14ac:dyDescent="0.35">
      <c r="B12" t="s">
        <v>10</v>
      </c>
      <c r="C12" t="s">
        <v>1</v>
      </c>
      <c r="D12" t="s">
        <v>24</v>
      </c>
      <c r="E12" t="s">
        <v>30</v>
      </c>
      <c r="F12" s="9">
        <v>23</v>
      </c>
      <c r="G12" s="10">
        <v>100</v>
      </c>
    </row>
    <row r="13" spans="2:7" x14ac:dyDescent="0.35">
      <c r="B13" t="s">
        <v>35</v>
      </c>
      <c r="C13" t="s">
        <v>37</v>
      </c>
      <c r="D13" t="s">
        <v>25</v>
      </c>
      <c r="E13" t="s">
        <v>30</v>
      </c>
      <c r="F13" s="9">
        <v>24</v>
      </c>
      <c r="G13" s="10">
        <v>5000</v>
      </c>
    </row>
    <row r="14" spans="2:7" x14ac:dyDescent="0.35">
      <c r="B14" t="s">
        <v>11</v>
      </c>
      <c r="C14" t="s">
        <v>38</v>
      </c>
      <c r="D14" t="s">
        <v>24</v>
      </c>
      <c r="E14" t="s">
        <v>29</v>
      </c>
      <c r="F14" s="9">
        <v>23</v>
      </c>
      <c r="G14" s="10">
        <v>100</v>
      </c>
    </row>
    <row r="15" spans="2:7" x14ac:dyDescent="0.35">
      <c r="B15" t="s">
        <v>12</v>
      </c>
      <c r="C15" t="s">
        <v>41</v>
      </c>
      <c r="D15" t="s">
        <v>25</v>
      </c>
      <c r="E15" t="s">
        <v>30</v>
      </c>
      <c r="F15" s="9">
        <v>26</v>
      </c>
      <c r="G15" s="10">
        <v>5000</v>
      </c>
    </row>
    <row r="16" spans="2:7" x14ac:dyDescent="0.35">
      <c r="B16" t="s">
        <v>13</v>
      </c>
      <c r="C16" t="s">
        <v>2</v>
      </c>
      <c r="D16" t="s">
        <v>25</v>
      </c>
      <c r="E16" t="s">
        <v>30</v>
      </c>
      <c r="F16" s="9">
        <v>26</v>
      </c>
      <c r="G16" s="10">
        <v>5000</v>
      </c>
    </row>
    <row r="17" spans="2:7" x14ac:dyDescent="0.35">
      <c r="B17" t="s">
        <v>14</v>
      </c>
      <c r="C17" t="s">
        <v>3</v>
      </c>
      <c r="D17" t="s">
        <v>26</v>
      </c>
      <c r="E17" t="s">
        <v>29</v>
      </c>
      <c r="F17" s="9">
        <v>26</v>
      </c>
      <c r="G17" s="10">
        <v>3000</v>
      </c>
    </row>
    <row r="18" spans="2:7" x14ac:dyDescent="0.35">
      <c r="B18" t="s">
        <v>15</v>
      </c>
      <c r="C18" t="s">
        <v>39</v>
      </c>
      <c r="D18" t="s">
        <v>26</v>
      </c>
      <c r="E18" t="s">
        <v>29</v>
      </c>
      <c r="F18" s="9">
        <v>26</v>
      </c>
      <c r="G18" s="10">
        <v>3000</v>
      </c>
    </row>
    <row r="19" spans="2:7" x14ac:dyDescent="0.35">
      <c r="B19" t="s">
        <v>16</v>
      </c>
      <c r="C19" t="s">
        <v>4</v>
      </c>
      <c r="D19" t="s">
        <v>26</v>
      </c>
      <c r="E19" t="s">
        <v>30</v>
      </c>
      <c r="F19" s="9">
        <v>26</v>
      </c>
      <c r="G19" s="10">
        <v>3000</v>
      </c>
    </row>
    <row r="20" spans="2:7" x14ac:dyDescent="0.35">
      <c r="B20" t="s">
        <v>17</v>
      </c>
      <c r="C20" t="s">
        <v>40</v>
      </c>
      <c r="D20" t="s">
        <v>27</v>
      </c>
      <c r="E20" t="s">
        <v>30</v>
      </c>
      <c r="F20" s="9">
        <v>26</v>
      </c>
      <c r="G20" s="10">
        <v>4000</v>
      </c>
    </row>
    <row r="21" spans="2:7" x14ac:dyDescent="0.35">
      <c r="B21" t="s">
        <v>18</v>
      </c>
      <c r="C21" t="s">
        <v>5</v>
      </c>
      <c r="D21" t="s">
        <v>27</v>
      </c>
      <c r="E21" t="s">
        <v>30</v>
      </c>
      <c r="F21" s="9">
        <v>26</v>
      </c>
      <c r="G21" s="10">
        <v>4000</v>
      </c>
    </row>
    <row r="22" spans="2:7" x14ac:dyDescent="0.35">
      <c r="B22" t="s">
        <v>19</v>
      </c>
      <c r="C22" t="s">
        <v>6</v>
      </c>
      <c r="D22" t="s">
        <v>27</v>
      </c>
      <c r="E22" t="s">
        <v>30</v>
      </c>
      <c r="F22" s="9">
        <v>26</v>
      </c>
      <c r="G22" s="10">
        <v>4000</v>
      </c>
    </row>
    <row r="23" spans="2:7" x14ac:dyDescent="0.35">
      <c r="B23" t="s">
        <v>36</v>
      </c>
      <c r="C23" t="s">
        <v>6</v>
      </c>
      <c r="D23" t="s">
        <v>27</v>
      </c>
      <c r="E23" t="s">
        <v>30</v>
      </c>
      <c r="F23" s="9">
        <v>26</v>
      </c>
      <c r="G23" s="10">
        <v>4000</v>
      </c>
    </row>
    <row r="24" spans="2:7" x14ac:dyDescent="0.35">
      <c r="B24" t="s">
        <v>32</v>
      </c>
      <c r="F24" s="9">
        <v>327</v>
      </c>
      <c r="G24" s="10">
        <v>42200</v>
      </c>
    </row>
  </sheetData>
  <pageMargins left="0.511811024" right="0.511811024" top="0.78740157499999996" bottom="0.78740157499999996" header="0.31496062000000002" footer="0.31496062000000002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5F3BCF-0275-494A-9981-C75EC037E171}">
  <dimension ref="A1:J21"/>
  <sheetViews>
    <sheetView zoomScaleNormal="100" workbookViewId="0"/>
  </sheetViews>
  <sheetFormatPr defaultRowHeight="14.5" x14ac:dyDescent="0.35"/>
  <cols>
    <col min="1" max="4" width="21.7265625" customWidth="1"/>
    <col min="5" max="5" width="15" customWidth="1"/>
    <col min="6" max="6" width="21.7265625" customWidth="1"/>
    <col min="8" max="8" width="17" bestFit="1" customWidth="1"/>
    <col min="9" max="9" width="15.54296875" bestFit="1" customWidth="1"/>
    <col min="10" max="10" width="14.1796875" style="11" bestFit="1" customWidth="1"/>
  </cols>
  <sheetData>
    <row r="1" spans="1:10" x14ac:dyDescent="0.35">
      <c r="A1" s="4" t="s">
        <v>8</v>
      </c>
      <c r="B1" s="4" t="s">
        <v>7</v>
      </c>
      <c r="C1" s="4" t="s">
        <v>22</v>
      </c>
      <c r="D1" s="4" t="s">
        <v>28</v>
      </c>
      <c r="E1" s="5" t="s">
        <v>20</v>
      </c>
      <c r="F1" s="6" t="s">
        <v>21</v>
      </c>
    </row>
    <row r="2" spans="1:10" x14ac:dyDescent="0.35">
      <c r="A2" s="1" t="s">
        <v>9</v>
      </c>
      <c r="B2" s="1" t="s">
        <v>0</v>
      </c>
      <c r="C2" s="1" t="s">
        <v>23</v>
      </c>
      <c r="D2" s="1" t="s">
        <v>29</v>
      </c>
      <c r="E2" s="2">
        <v>23</v>
      </c>
      <c r="F2" s="3">
        <v>2000</v>
      </c>
      <c r="H2" s="7" t="s">
        <v>31</v>
      </c>
      <c r="I2" t="s">
        <v>33</v>
      </c>
      <c r="J2" s="12"/>
    </row>
    <row r="3" spans="1:10" x14ac:dyDescent="0.35">
      <c r="A3" s="1" t="s">
        <v>10</v>
      </c>
      <c r="B3" s="1" t="s">
        <v>1</v>
      </c>
      <c r="C3" s="1" t="s">
        <v>24</v>
      </c>
      <c r="D3" s="1" t="s">
        <v>30</v>
      </c>
      <c r="E3" s="2">
        <v>23</v>
      </c>
      <c r="F3" s="3">
        <v>100</v>
      </c>
      <c r="H3" s="8" t="s">
        <v>30</v>
      </c>
      <c r="I3" s="9">
        <v>9</v>
      </c>
      <c r="J3" s="12"/>
    </row>
    <row r="4" spans="1:10" x14ac:dyDescent="0.35">
      <c r="A4" s="1" t="s">
        <v>35</v>
      </c>
      <c r="B4" s="1" t="s">
        <v>37</v>
      </c>
      <c r="C4" s="1" t="s">
        <v>25</v>
      </c>
      <c r="D4" s="1" t="s">
        <v>30</v>
      </c>
      <c r="E4" s="2">
        <v>24</v>
      </c>
      <c r="F4" s="3">
        <v>5000</v>
      </c>
      <c r="H4" s="8" t="s">
        <v>29</v>
      </c>
      <c r="I4" s="9">
        <v>4</v>
      </c>
      <c r="J4" s="12"/>
    </row>
    <row r="5" spans="1:10" x14ac:dyDescent="0.35">
      <c r="A5" s="1" t="s">
        <v>11</v>
      </c>
      <c r="B5" s="1" t="s">
        <v>38</v>
      </c>
      <c r="C5" s="1" t="s">
        <v>24</v>
      </c>
      <c r="D5" s="1" t="s">
        <v>29</v>
      </c>
      <c r="E5" s="2">
        <v>23</v>
      </c>
      <c r="F5" s="3">
        <v>100</v>
      </c>
      <c r="H5" s="8" t="s">
        <v>32</v>
      </c>
      <c r="I5" s="9">
        <v>13</v>
      </c>
      <c r="J5" s="12"/>
    </row>
    <row r="6" spans="1:10" x14ac:dyDescent="0.35">
      <c r="A6" s="1" t="s">
        <v>12</v>
      </c>
      <c r="B6" s="1" t="s">
        <v>41</v>
      </c>
      <c r="C6" s="1" t="s">
        <v>25</v>
      </c>
      <c r="D6" s="1" t="s">
        <v>30</v>
      </c>
      <c r="E6" s="2">
        <v>26</v>
      </c>
      <c r="F6" s="3">
        <v>5000</v>
      </c>
      <c r="J6" s="12"/>
    </row>
    <row r="7" spans="1:10" x14ac:dyDescent="0.35">
      <c r="A7" s="1" t="s">
        <v>13</v>
      </c>
      <c r="B7" s="1" t="s">
        <v>2</v>
      </c>
      <c r="C7" s="1" t="s">
        <v>25</v>
      </c>
      <c r="D7" s="1" t="s">
        <v>30</v>
      </c>
      <c r="E7" s="2">
        <v>26</v>
      </c>
      <c r="F7" s="3">
        <v>5000</v>
      </c>
      <c r="J7" s="12"/>
    </row>
    <row r="8" spans="1:10" x14ac:dyDescent="0.35">
      <c r="A8" s="1" t="s">
        <v>14</v>
      </c>
      <c r="B8" s="1" t="s">
        <v>3</v>
      </c>
      <c r="C8" s="1" t="s">
        <v>26</v>
      </c>
      <c r="D8" s="1" t="s">
        <v>29</v>
      </c>
      <c r="E8" s="2">
        <v>26</v>
      </c>
      <c r="F8" s="3">
        <v>3000</v>
      </c>
      <c r="J8" s="12"/>
    </row>
    <row r="9" spans="1:10" x14ac:dyDescent="0.35">
      <c r="A9" s="1" t="s">
        <v>15</v>
      </c>
      <c r="B9" s="1" t="s">
        <v>39</v>
      </c>
      <c r="C9" s="1" t="s">
        <v>26</v>
      </c>
      <c r="D9" s="1" t="s">
        <v>29</v>
      </c>
      <c r="E9" s="2">
        <v>26</v>
      </c>
      <c r="F9" s="3">
        <v>3000</v>
      </c>
      <c r="J9" s="12"/>
    </row>
    <row r="10" spans="1:10" x14ac:dyDescent="0.35">
      <c r="A10" s="1" t="s">
        <v>16</v>
      </c>
      <c r="B10" s="1" t="s">
        <v>4</v>
      </c>
      <c r="C10" s="1" t="s">
        <v>26</v>
      </c>
      <c r="D10" s="1" t="s">
        <v>30</v>
      </c>
      <c r="E10" s="2">
        <v>26</v>
      </c>
      <c r="F10" s="3">
        <v>3000</v>
      </c>
      <c r="J10" s="12"/>
    </row>
    <row r="11" spans="1:10" x14ac:dyDescent="0.35">
      <c r="A11" s="1" t="s">
        <v>17</v>
      </c>
      <c r="B11" s="1" t="s">
        <v>40</v>
      </c>
      <c r="C11" s="1" t="s">
        <v>27</v>
      </c>
      <c r="D11" s="1" t="s">
        <v>30</v>
      </c>
      <c r="E11" s="2">
        <v>26</v>
      </c>
      <c r="F11" s="3">
        <v>4000</v>
      </c>
      <c r="H11" s="7" t="s">
        <v>31</v>
      </c>
      <c r="I11" t="s">
        <v>33</v>
      </c>
      <c r="J11" s="12" t="s">
        <v>34</v>
      </c>
    </row>
    <row r="12" spans="1:10" x14ac:dyDescent="0.35">
      <c r="A12" s="1" t="s">
        <v>18</v>
      </c>
      <c r="B12" s="1" t="s">
        <v>5</v>
      </c>
      <c r="C12" s="1" t="s">
        <v>27</v>
      </c>
      <c r="D12" s="1" t="s">
        <v>30</v>
      </c>
      <c r="E12" s="2">
        <v>26</v>
      </c>
      <c r="F12" s="3">
        <v>4000</v>
      </c>
      <c r="H12" s="8" t="s">
        <v>30</v>
      </c>
      <c r="I12" s="9">
        <v>9</v>
      </c>
      <c r="J12" s="12">
        <v>34100</v>
      </c>
    </row>
    <row r="13" spans="1:10" x14ac:dyDescent="0.35">
      <c r="A13" s="1" t="s">
        <v>19</v>
      </c>
      <c r="B13" s="1" t="s">
        <v>6</v>
      </c>
      <c r="C13" s="1" t="s">
        <v>27</v>
      </c>
      <c r="D13" s="1" t="s">
        <v>30</v>
      </c>
      <c r="E13" s="2">
        <v>26</v>
      </c>
      <c r="F13" s="3">
        <v>4000</v>
      </c>
      <c r="H13" s="8" t="s">
        <v>29</v>
      </c>
      <c r="I13" s="9">
        <v>4</v>
      </c>
      <c r="J13" s="12">
        <v>8100</v>
      </c>
    </row>
    <row r="14" spans="1:10" x14ac:dyDescent="0.35">
      <c r="A14" s="1" t="s">
        <v>36</v>
      </c>
      <c r="B14" s="1" t="s">
        <v>6</v>
      </c>
      <c r="C14" s="1" t="s">
        <v>27</v>
      </c>
      <c r="D14" s="1" t="s">
        <v>30</v>
      </c>
      <c r="E14" s="2">
        <v>26</v>
      </c>
      <c r="F14" s="3">
        <v>4000</v>
      </c>
      <c r="H14" s="8" t="s">
        <v>32</v>
      </c>
      <c r="I14" s="9">
        <v>13</v>
      </c>
      <c r="J14" s="12">
        <v>42200</v>
      </c>
    </row>
    <row r="15" spans="1:10" x14ac:dyDescent="0.35">
      <c r="J15" s="12"/>
    </row>
    <row r="16" spans="1:10" x14ac:dyDescent="0.35">
      <c r="J16" s="12"/>
    </row>
    <row r="17" spans="10:10" x14ac:dyDescent="0.35">
      <c r="J17" s="12"/>
    </row>
    <row r="18" spans="10:10" x14ac:dyDescent="0.35">
      <c r="J18" s="12"/>
    </row>
    <row r="19" spans="10:10" x14ac:dyDescent="0.35">
      <c r="J19" s="12"/>
    </row>
    <row r="20" spans="10:10" x14ac:dyDescent="0.35">
      <c r="J20" s="12"/>
    </row>
    <row r="21" spans="10:10" x14ac:dyDescent="0.35">
      <c r="J21" s="12"/>
    </row>
  </sheetData>
  <phoneticPr fontId="3" type="noConversion"/>
  <pageMargins left="0.7" right="0.7" top="0.75" bottom="0.75" header="0.3" footer="0.3"/>
  <pageSetup paperSize="9" orientation="portrait" horizontalDpi="300" r:id="rId3"/>
  <headerFooter>
    <oddHeader>&amp;C&amp;"Arial"&amp;8&amp;K000000 INTERNAL&amp;1#_x000D_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7FBF0B9CEACA34A981A7F46EA19F3F9" ma:contentTypeVersion="9" ma:contentTypeDescription="Create a new document." ma:contentTypeScope="" ma:versionID="4f484b9883a95de778a6ce333a5c9fbe">
  <xsd:schema xmlns:xsd="http://www.w3.org/2001/XMLSchema" xmlns:xs="http://www.w3.org/2001/XMLSchema" xmlns:p="http://schemas.microsoft.com/office/2006/metadata/properties" xmlns:ns3="fd550b8b-0dd7-4de3-a8e6-af527f15a8ac" xmlns:ns4="45cbc027-4fdb-4325-ba4c-14e20f088a7f" targetNamespace="http://schemas.microsoft.com/office/2006/metadata/properties" ma:root="true" ma:fieldsID="918a0d7af8be30ff2596a9f3dd2488fd" ns3:_="" ns4:_="">
    <xsd:import namespace="fd550b8b-0dd7-4de3-a8e6-af527f15a8ac"/>
    <xsd:import namespace="45cbc027-4fdb-4325-ba4c-14e20f088a7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550b8b-0dd7-4de3-a8e6-af527f15a8a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5cbc027-4fdb-4325-ba4c-14e20f088a7f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6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DF8C6D0-BDB8-4D22-A8A4-DEAEBC30ED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550b8b-0dd7-4de3-a8e6-af527f15a8ac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66DECCE-BB42-4B71-9D6C-EC24543CD393}">
  <ds:schemaRefs>
    <ds:schemaRef ds:uri="http://purl.org/dc/terms/"/>
    <ds:schemaRef ds:uri="http://schemas.openxmlformats.org/package/2006/metadata/core-properties"/>
    <ds:schemaRef ds:uri="45cbc027-4fdb-4325-ba4c-14e20f088a7f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fd550b8b-0dd7-4de3-a8e6-af527f15a8ac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8981F02B-5252-40A8-85C9-6E028D5DC5D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Tabela Dinâmica</vt:lpstr>
      <vt:lpstr>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Clevison Santos</dc:creator>
  <cp:lastModifiedBy>Felipe Gomes Viana Da Silva, Enel 2</cp:lastModifiedBy>
  <dcterms:created xsi:type="dcterms:W3CDTF">2020-07-22T00:11:39Z</dcterms:created>
  <dcterms:modified xsi:type="dcterms:W3CDTF">2026-07-20T15:47:59Z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0x010100B7FBF0B9CEACA34A981A7F46EA19F3F9</vt:lpwstr>
  </property>
  <property fmtid="{D5CDD505-2E9C-101B-9397-08002B2CF9AE}" pid="3" name="MSIP_Label_797ad33d-ed35-43c0-b526-22bc83c17deb_Enabled">
    <vt:lpwstr>true</vt:lpwstr>
  </property>
  <property fmtid="{D5CDD505-2E9C-101B-9397-08002B2CF9AE}" pid="4" name="MSIP_Label_797ad33d-ed35-43c0-b526-22bc83c17deb_SetDate">
    <vt:lpwstr>2026-07-17T23:02:32Z</vt:lpwstr>
  </property>
  <property fmtid="{D5CDD505-2E9C-101B-9397-08002B2CF9AE}" pid="5" name="MSIP_Label_797ad33d-ed35-43c0-b526-22bc83c17deb_Method">
    <vt:lpwstr>Standard</vt:lpwstr>
  </property>
  <property fmtid="{D5CDD505-2E9C-101B-9397-08002B2CF9AE}" pid="6" name="MSIP_Label_797ad33d-ed35-43c0-b526-22bc83c17deb_Name">
    <vt:lpwstr>797ad33d-ed35-43c0-b526-22bc83c17deb</vt:lpwstr>
  </property>
  <property fmtid="{D5CDD505-2E9C-101B-9397-08002B2CF9AE}" pid="7" name="MSIP_Label_797ad33d-ed35-43c0-b526-22bc83c17deb_SiteId">
    <vt:lpwstr>d539d4bf-5610-471a-afc2-1c76685cfefa</vt:lpwstr>
  </property>
  <property fmtid="{D5CDD505-2E9C-101B-9397-08002B2CF9AE}" pid="8" name="MSIP_Label_797ad33d-ed35-43c0-b526-22bc83c17deb_ActionId">
    <vt:lpwstr>bfe75dfd-ea9b-4728-89ff-8e342a7d8f49</vt:lpwstr>
  </property>
  <property fmtid="{D5CDD505-2E9C-101B-9397-08002B2CF9AE}" pid="9" name="MSIP_Label_797ad33d-ed35-43c0-b526-22bc83c17deb_ContentBits">
    <vt:lpwstr>1</vt:lpwstr>
  </property>
  <property fmtid="{D5CDD505-2E9C-101B-9397-08002B2CF9AE}" pid="10" name="MSIP_Label_797ad33d-ed35-43c0-b526-22bc83c17deb_Tag">
    <vt:lpwstr>10, 3, 0, 1</vt:lpwstr>
  </property>
</Properties>
</file>
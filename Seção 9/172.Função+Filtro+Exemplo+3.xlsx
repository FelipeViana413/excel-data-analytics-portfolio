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9/"/>
    </mc:Choice>
  </mc:AlternateContent>
  <xr:revisionPtr revIDLastSave="26" documentId="13_ncr:1_{3158B0F7-83D3-4211-8D79-68A7F8C94666}" xr6:coauthVersionLast="47" xr6:coauthVersionMax="47" xr10:uidLastSave="{99A00669-C0C1-4A9C-925B-76329C7439F9}"/>
  <bookViews>
    <workbookView xWindow="-110" yWindow="-110" windowWidth="19420" windowHeight="11500" activeTab="1" xr2:uid="{0B4EE6E4-6187-4B9B-B4B8-6CFBBA85DCD0}"/>
  </bookViews>
  <sheets>
    <sheet name="Professor" sheetId="3" r:id="rId1"/>
    <sheet name="Aluno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5" i="6" l="1" a="1"/>
  <c r="I15" i="6" s="1"/>
  <c r="G11" i="6" a="1"/>
  <c r="G11" i="6" s="1"/>
  <c r="E11" i="6" a="1"/>
  <c r="E11" i="6" s="1"/>
  <c r="I15" i="3" a="1"/>
  <c r="I15" i="3" s="1"/>
  <c r="G11" i="3" a="1"/>
  <c r="G11" i="3" s="1"/>
  <c r="E11" i="3" a="1"/>
  <c r="E11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<sst xmlns="http://schemas.openxmlformats.org/spreadsheetml/2006/main" count="76" uniqueCount="24">
  <si>
    <t>Nome</t>
  </si>
  <si>
    <t>Acre</t>
  </si>
  <si>
    <t>Amazonas</t>
  </si>
  <si>
    <t>Maranhão</t>
  </si>
  <si>
    <t>Mato Grosso</t>
  </si>
  <si>
    <t>Paraná</t>
  </si>
  <si>
    <t>Estado</t>
  </si>
  <si>
    <t>Miguel</t>
  </si>
  <si>
    <t>Arthur</t>
  </si>
  <si>
    <t>Heitor</t>
  </si>
  <si>
    <t>Helena</t>
  </si>
  <si>
    <t>Alice</t>
  </si>
  <si>
    <t>Theo</t>
  </si>
  <si>
    <t>Davi</t>
  </si>
  <si>
    <t>Laura</t>
  </si>
  <si>
    <t>Gabriel</t>
  </si>
  <si>
    <t>Gael</t>
  </si>
  <si>
    <t>Bernardo</t>
  </si>
  <si>
    <t>Idade</t>
  </si>
  <si>
    <t>Curso de Excel do Básico ao Avançado</t>
  </si>
  <si>
    <t>Professor:</t>
  </si>
  <si>
    <t xml:space="preserve">     Clevison Santos</t>
  </si>
  <si>
    <t>Aula:</t>
  </si>
  <si>
    <t xml:space="preserve"> Filtro 2 Condições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</si>
</sst>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3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0" tint="-4.9989318521683403E-2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3" xfId="0" applyBorder="1"/>
    <xf numFmtId="0" fontId="0" fillId="3" borderId="0" xfId="0" applyFill="1"/>
    <xf numFmtId="0" fontId="3" fillId="3" borderId="0" xfId="0" applyFont="1" applyFill="1"/>
    <xf numFmtId="0" fontId="4" fillId="2" borderId="2" xfId="0" applyFont="1" applyFill="1" applyBorder="1"/>
    <xf numFmtId="0" fontId="4" fillId="0" borderId="1" xfId="0" applyFont="1" applyBorder="1"/>
    <xf numFmtId="0" fontId="4" fillId="0" borderId="0" xfId="0" applyFont="1"/>
    <xf numFmtId="0" fontId="4" fillId="2" borderId="2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1" fillId="3" borderId="0" xfId="0" applyFont="1" applyFill="1" applyAlignment="1">
      <alignment horizontal="left"/>
    </xf>
    <xf numFmtId="0" fontId="2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271E3-7D4B-4E31-A57D-635EC2310FED}">
  <dimension ref="A1:N22"/>
  <sheetViews>
    <sheetView workbookViewId="0">
      <selection activeCell="I15" sqref="I15"/>
    </sheetView>
  </sheetViews>
  <sheetFormatPr defaultRowHeight="14.5" x14ac:dyDescent="0.35"/>
  <cols>
    <col min="1" max="3" width="19.26953125" customWidth="1"/>
    <col min="5" max="5" width="18.54296875" bestFit="1" customWidth="1"/>
    <col min="7" max="7" width="11.54296875" bestFit="1" customWidth="1"/>
    <col min="9" max="11" width="14.54296875" customWidth="1"/>
  </cols>
  <sheetData>
    <row r="1" spans="1:14" s="2" customFormat="1" x14ac:dyDescent="0.35"/>
    <row r="2" spans="1:14" s="2" customFormat="1" ht="15.65" customHeight="1" x14ac:dyDescent="0.35">
      <c r="B2" s="11" t="s">
        <v>19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s="2" customFormat="1" ht="14.4" customHeight="1" x14ac:dyDescent="0.35"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s="2" customFormat="1" ht="14.4" customHeight="1" x14ac:dyDescent="0.35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</row>
    <row r="5" spans="1:14" s="2" customFormat="1" ht="23.5" x14ac:dyDescent="0.55000000000000004">
      <c r="B5" s="12" t="s">
        <v>20</v>
      </c>
      <c r="C5" s="12"/>
      <c r="D5" s="3" t="s">
        <v>21</v>
      </c>
    </row>
    <row r="6" spans="1:14" s="2" customFormat="1" ht="23.5" x14ac:dyDescent="0.55000000000000004">
      <c r="B6" s="12" t="s">
        <v>22</v>
      </c>
      <c r="C6" s="12"/>
      <c r="D6" s="3" t="s">
        <v>23</v>
      </c>
    </row>
    <row r="7" spans="1:14" s="2" customFormat="1" x14ac:dyDescent="0.35"/>
    <row r="10" spans="1:14" ht="23.5" x14ac:dyDescent="0.55000000000000004">
      <c r="A10" s="4" t="s">
        <v>6</v>
      </c>
      <c r="B10" s="4" t="s">
        <v>0</v>
      </c>
      <c r="C10" s="7" t="s">
        <v>18</v>
      </c>
      <c r="E10" s="10" t="s">
        <v>6</v>
      </c>
      <c r="G10" s="10" t="s">
        <v>18</v>
      </c>
      <c r="I10" s="9" t="s">
        <v>6</v>
      </c>
      <c r="J10" s="8" t="s">
        <v>5</v>
      </c>
    </row>
    <row r="11" spans="1:14" ht="23.5" x14ac:dyDescent="0.55000000000000004">
      <c r="A11" s="5" t="s">
        <v>1</v>
      </c>
      <c r="B11" s="5" t="s">
        <v>7</v>
      </c>
      <c r="C11" s="8">
        <v>30</v>
      </c>
      <c r="E11" s="8" t="str" cm="1">
        <f t="array" ref="E11:E15">_xlfn._xlws.SORT(_xlfn.UNIQUE(A11:A21),1)</f>
        <v>Acre</v>
      </c>
      <c r="G11" s="8" cm="1">
        <f t="array" ref="G11:G16">_xlfn._xlws.SORT(_xlfn.UNIQUE(C11:C21),1)</f>
        <v>18</v>
      </c>
    </row>
    <row r="12" spans="1:14" ht="23.5" x14ac:dyDescent="0.55000000000000004">
      <c r="A12" s="5" t="s">
        <v>5</v>
      </c>
      <c r="B12" s="5" t="s">
        <v>8</v>
      </c>
      <c r="C12" s="8">
        <v>38</v>
      </c>
      <c r="E12" s="8" t="str">
        <v>Amazonas</v>
      </c>
      <c r="G12" s="8">
        <v>19</v>
      </c>
      <c r="I12" s="4" t="s">
        <v>18</v>
      </c>
      <c r="J12" s="8">
        <v>38</v>
      </c>
    </row>
    <row r="13" spans="1:14" ht="23.5" x14ac:dyDescent="0.55000000000000004">
      <c r="A13" s="5" t="s">
        <v>1</v>
      </c>
      <c r="B13" s="5" t="s">
        <v>9</v>
      </c>
      <c r="C13" s="8">
        <v>19</v>
      </c>
      <c r="E13" s="8" t="str">
        <v>Maranhão</v>
      </c>
      <c r="G13" s="8">
        <v>21</v>
      </c>
    </row>
    <row r="14" spans="1:14" ht="23.5" x14ac:dyDescent="0.55000000000000004">
      <c r="A14" s="5" t="s">
        <v>2</v>
      </c>
      <c r="B14" s="5" t="s">
        <v>10</v>
      </c>
      <c r="C14" s="8">
        <v>21</v>
      </c>
      <c r="E14" s="8" t="str">
        <v>Mato Grosso</v>
      </c>
      <c r="G14" s="8">
        <v>30</v>
      </c>
      <c r="I14" s="9" t="s">
        <v>6</v>
      </c>
      <c r="J14" s="9" t="s">
        <v>0</v>
      </c>
      <c r="K14" s="9" t="s">
        <v>18</v>
      </c>
    </row>
    <row r="15" spans="1:14" ht="23.5" x14ac:dyDescent="0.55000000000000004">
      <c r="A15" s="5" t="s">
        <v>3</v>
      </c>
      <c r="B15" s="5" t="s">
        <v>11</v>
      </c>
      <c r="C15" s="8">
        <v>18</v>
      </c>
      <c r="E15" s="8" t="str">
        <v>Paraná</v>
      </c>
      <c r="G15" s="8">
        <v>38</v>
      </c>
      <c r="I15" t="str" cm="1">
        <f t="array" ref="I15:K17">_xlfn._xlws.FILTER(A11:C21,(A11:A21=J10)*(C11:C21=J12),"")</f>
        <v>Paraná</v>
      </c>
      <c r="J15" t="str">
        <v>Arthur</v>
      </c>
      <c r="K15">
        <v>38</v>
      </c>
    </row>
    <row r="16" spans="1:14" ht="23.5" x14ac:dyDescent="0.55000000000000004">
      <c r="A16" s="5" t="s">
        <v>3</v>
      </c>
      <c r="B16" s="5" t="s">
        <v>12</v>
      </c>
      <c r="C16" s="8">
        <v>30</v>
      </c>
      <c r="G16" s="8">
        <v>49</v>
      </c>
      <c r="I16" t="str">
        <v>Paraná</v>
      </c>
      <c r="J16" t="str">
        <v>Laura</v>
      </c>
      <c r="K16">
        <v>38</v>
      </c>
    </row>
    <row r="17" spans="1:11" ht="23.5" x14ac:dyDescent="0.55000000000000004">
      <c r="A17" s="5" t="s">
        <v>5</v>
      </c>
      <c r="B17" s="5" t="s">
        <v>13</v>
      </c>
      <c r="C17" s="8">
        <v>49</v>
      </c>
      <c r="I17" t="str">
        <v>Paraná</v>
      </c>
      <c r="J17" t="str">
        <v>Gabriel</v>
      </c>
      <c r="K17">
        <v>38</v>
      </c>
    </row>
    <row r="18" spans="1:11" ht="23.5" x14ac:dyDescent="0.55000000000000004">
      <c r="A18" s="5" t="s">
        <v>5</v>
      </c>
      <c r="B18" s="5" t="s">
        <v>14</v>
      </c>
      <c r="C18" s="8">
        <v>38</v>
      </c>
    </row>
    <row r="19" spans="1:11" ht="23.5" x14ac:dyDescent="0.55000000000000004">
      <c r="A19" s="5" t="s">
        <v>5</v>
      </c>
      <c r="B19" s="5" t="s">
        <v>15</v>
      </c>
      <c r="C19" s="8">
        <v>38</v>
      </c>
    </row>
    <row r="20" spans="1:11" ht="23.5" x14ac:dyDescent="0.55000000000000004">
      <c r="A20" s="5" t="s">
        <v>3</v>
      </c>
      <c r="B20" s="5" t="s">
        <v>16</v>
      </c>
      <c r="C20" s="8">
        <v>21</v>
      </c>
    </row>
    <row r="21" spans="1:11" ht="23.5" x14ac:dyDescent="0.55000000000000004">
      <c r="A21" s="5" t="s">
        <v>4</v>
      </c>
      <c r="B21" s="5" t="s">
        <v>17</v>
      </c>
      <c r="C21" s="8">
        <v>18</v>
      </c>
    </row>
    <row r="22" spans="1:11" x14ac:dyDescent="0.35">
      <c r="A22" s="1"/>
    </row>
  </sheetData>
  <mergeCells count="3">
    <mergeCell ref="B2:N4"/>
    <mergeCell ref="B5:C5"/>
    <mergeCell ref="B6:C6"/>
  </mergeCells>
  <dataValidations count="2">
    <dataValidation type="list" allowBlank="1" showInputMessage="1" showErrorMessage="1" sqref="J10" xr:uid="{12B1EFAD-D79D-411F-BABF-4A1B8FE4DA69}">
      <formula1>_xlfn.ANCHORARRAY($E$11)</formula1>
    </dataValidation>
    <dataValidation type="list" allowBlank="1" showInputMessage="1" showErrorMessage="1" sqref="J12" xr:uid="{8DF16852-8451-4190-9C88-D88E37872BC9}">
      <formula1>_xlfn.ANCHORARRAY($G$11)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00" verticalDpi="0" r:id="rId1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A7F08-C4F5-476F-B77F-286933949C10}">
  <dimension ref="A1:N22"/>
  <sheetViews>
    <sheetView tabSelected="1" topLeftCell="A8" workbookViewId="0">
      <selection activeCell="J17" sqref="J17"/>
    </sheetView>
  </sheetViews>
  <sheetFormatPr defaultRowHeight="14.5" x14ac:dyDescent="0.35"/>
  <cols>
    <col min="1" max="3" width="19.26953125" customWidth="1"/>
    <col min="5" max="5" width="18.54296875" bestFit="1" customWidth="1"/>
    <col min="7" max="7" width="11.54296875" bestFit="1" customWidth="1"/>
    <col min="9" max="11" width="14.54296875" customWidth="1"/>
  </cols>
  <sheetData>
    <row r="1" spans="1:14" s="2" customFormat="1" x14ac:dyDescent="0.35"/>
    <row r="2" spans="1:14" s="2" customFormat="1" ht="15.65" customHeight="1" x14ac:dyDescent="0.35">
      <c r="B2" s="11" t="s">
        <v>19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s="2" customFormat="1" ht="14.4" customHeight="1" x14ac:dyDescent="0.35"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s="2" customFormat="1" ht="14.4" customHeight="1" x14ac:dyDescent="0.35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</row>
    <row r="5" spans="1:14" s="2" customFormat="1" ht="23.5" x14ac:dyDescent="0.55000000000000004">
      <c r="B5" s="12" t="s">
        <v>20</v>
      </c>
      <c r="C5" s="12"/>
      <c r="D5" s="3" t="s">
        <v>21</v>
      </c>
    </row>
    <row r="6" spans="1:14" s="2" customFormat="1" ht="23.5" x14ac:dyDescent="0.55000000000000004">
      <c r="B6" s="12" t="s">
        <v>22</v>
      </c>
      <c r="C6" s="12"/>
      <c r="D6" s="3" t="s">
        <v>23</v>
      </c>
    </row>
    <row r="7" spans="1:14" s="2" customFormat="1" x14ac:dyDescent="0.35"/>
    <row r="10" spans="1:14" ht="23.5" x14ac:dyDescent="0.55000000000000004">
      <c r="A10" s="4" t="s">
        <v>6</v>
      </c>
      <c r="B10" s="4" t="s">
        <v>0</v>
      </c>
      <c r="C10" s="7" t="s">
        <v>18</v>
      </c>
      <c r="E10" s="10" t="s">
        <v>6</v>
      </c>
      <c r="G10" s="10" t="s">
        <v>18</v>
      </c>
      <c r="I10" s="9" t="s">
        <v>6</v>
      </c>
      <c r="J10" s="8" t="s">
        <v>5</v>
      </c>
    </row>
    <row r="11" spans="1:14" ht="23.5" x14ac:dyDescent="0.55000000000000004">
      <c r="A11" s="5" t="s">
        <v>1</v>
      </c>
      <c r="B11" s="5" t="s">
        <v>7</v>
      </c>
      <c r="C11" s="8">
        <v>30</v>
      </c>
      <c r="E11" s="8" t="str" cm="1">
        <f t="array" ref="E11:E15">_xlfn._xlws.SORT(_xlfn.UNIQUE(A11:A21),1)</f>
        <v>Acre</v>
      </c>
      <c r="G11" s="8" cm="1">
        <f t="array" ref="G11:G16">_xlfn._xlws.SORT(_xlfn.UNIQUE(C11:C21),1)</f>
        <v>18</v>
      </c>
    </row>
    <row r="12" spans="1:14" ht="23.5" x14ac:dyDescent="0.55000000000000004">
      <c r="A12" s="5" t="s">
        <v>5</v>
      </c>
      <c r="B12" s="5" t="s">
        <v>8</v>
      </c>
      <c r="C12" s="8">
        <v>21</v>
      </c>
      <c r="E12" s="8" t="str">
        <v>Amazonas</v>
      </c>
      <c r="G12" s="8">
        <v>21</v>
      </c>
      <c r="I12" s="4" t="s">
        <v>18</v>
      </c>
      <c r="J12" s="8">
        <v>21</v>
      </c>
    </row>
    <row r="13" spans="1:14" ht="23.5" x14ac:dyDescent="0.55000000000000004">
      <c r="A13" s="5" t="s">
        <v>1</v>
      </c>
      <c r="B13" s="5" t="s">
        <v>9</v>
      </c>
      <c r="C13" s="8">
        <v>30</v>
      </c>
      <c r="E13" s="8" t="str">
        <v>Maranhão</v>
      </c>
      <c r="G13" s="8">
        <v>30</v>
      </c>
    </row>
    <row r="14" spans="1:14" ht="23.5" x14ac:dyDescent="0.55000000000000004">
      <c r="A14" s="5" t="s">
        <v>2</v>
      </c>
      <c r="B14" s="5" t="s">
        <v>10</v>
      </c>
      <c r="C14" s="8">
        <v>21</v>
      </c>
      <c r="E14" s="8" t="str">
        <v>Mato Grosso</v>
      </c>
      <c r="G14" s="8">
        <v>31</v>
      </c>
      <c r="I14" s="9" t="s">
        <v>6</v>
      </c>
      <c r="J14" s="9" t="s">
        <v>0</v>
      </c>
      <c r="K14" s="9" t="s">
        <v>18</v>
      </c>
    </row>
    <row r="15" spans="1:14" ht="23.5" x14ac:dyDescent="0.55000000000000004">
      <c r="A15" s="5" t="s">
        <v>3</v>
      </c>
      <c r="B15" s="5" t="s">
        <v>11</v>
      </c>
      <c r="C15" s="8">
        <v>18</v>
      </c>
      <c r="E15" s="8" t="str">
        <v>Paraná</v>
      </c>
      <c r="G15" s="8">
        <v>38</v>
      </c>
      <c r="I15" s="6" t="str" cm="1">
        <f t="array" ref="I15:K15">_xlfn._xlws.FILTER(A11:C21,(A11:A21=J10)*(C11:C21=J12),0)</f>
        <v>Paraná</v>
      </c>
      <c r="J15" s="6" t="str">
        <v>Arthur</v>
      </c>
      <c r="K15" s="6">
        <v>21</v>
      </c>
    </row>
    <row r="16" spans="1:14" ht="23.5" x14ac:dyDescent="0.55000000000000004">
      <c r="A16" s="5" t="s">
        <v>3</v>
      </c>
      <c r="B16" s="5" t="s">
        <v>12</v>
      </c>
      <c r="C16" s="8">
        <v>30</v>
      </c>
      <c r="G16" s="8">
        <v>49</v>
      </c>
    </row>
    <row r="17" spans="1:3" ht="23.5" x14ac:dyDescent="0.55000000000000004">
      <c r="A17" s="5" t="s">
        <v>5</v>
      </c>
      <c r="B17" s="5" t="s">
        <v>13</v>
      </c>
      <c r="C17" s="8">
        <v>49</v>
      </c>
    </row>
    <row r="18" spans="1:3" ht="23.5" x14ac:dyDescent="0.55000000000000004">
      <c r="A18" s="5" t="s">
        <v>5</v>
      </c>
      <c r="B18" s="5" t="s">
        <v>14</v>
      </c>
      <c r="C18" s="8">
        <v>31</v>
      </c>
    </row>
    <row r="19" spans="1:3" ht="23.5" x14ac:dyDescent="0.55000000000000004">
      <c r="A19" s="5" t="s">
        <v>5</v>
      </c>
      <c r="B19" s="5" t="s">
        <v>15</v>
      </c>
      <c r="C19" s="8">
        <v>38</v>
      </c>
    </row>
    <row r="20" spans="1:3" ht="23.5" x14ac:dyDescent="0.55000000000000004">
      <c r="A20" s="5" t="s">
        <v>3</v>
      </c>
      <c r="B20" s="5" t="s">
        <v>16</v>
      </c>
      <c r="C20" s="8">
        <v>21</v>
      </c>
    </row>
    <row r="21" spans="1:3" ht="23.5" x14ac:dyDescent="0.55000000000000004">
      <c r="A21" s="5" t="s">
        <v>4</v>
      </c>
      <c r="B21" s="5" t="s">
        <v>17</v>
      </c>
      <c r="C21" s="8">
        <v>18</v>
      </c>
    </row>
    <row r="22" spans="1:3" x14ac:dyDescent="0.35">
      <c r="A22" s="1"/>
    </row>
  </sheetData>
  <mergeCells count="3">
    <mergeCell ref="B2:N4"/>
    <mergeCell ref="B5:C5"/>
    <mergeCell ref="B6:C6"/>
  </mergeCells>
  <dataValidations count="2">
    <dataValidation type="list" allowBlank="1" showInputMessage="1" showErrorMessage="1" sqref="J10" xr:uid="{C2FFDCC6-8A46-414B-9F1D-9E0A95282AC0}">
      <formula1>_xlfn.ANCHORARRAY($E$11)</formula1>
    </dataValidation>
    <dataValidation type="list" allowBlank="1" showInputMessage="1" showErrorMessage="1" sqref="J12" xr:uid="{8A5A1B6F-F735-4DDC-A1EF-F775171F0EDB}">
      <formula1>_xlfn.ANCHORARRAY($G$11)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00" verticalDpi="0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2021-12-20T13:17:28Z</dcterms:created>
  <dcterms:modified xsi:type="dcterms:W3CDTF">2026-08-05T01:10:43Z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2026-08-05T01:06:22Z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241a34da-55ed-42d5-b2b2-43e305ed4696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
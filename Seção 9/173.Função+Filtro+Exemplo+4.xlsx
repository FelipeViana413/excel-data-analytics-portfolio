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12" documentId="13_ncr:1_{9517A80C-4958-4FCE-8A8F-7BF8200F0B83}" xr6:coauthVersionLast="47" xr6:coauthVersionMax="47" xr10:uidLastSave="{7917B5F6-F6DE-45FF-8E82-9A0E4BD27E57}"/>
  <bookViews>
    <workbookView xWindow="-110" yWindow="-110" windowWidth="19420" windowHeight="11500" activeTab="1" xr2:uid="{0B4EE6E4-6187-4B9B-B4B8-6CFBBA85DCD0}"/>
  </bookViews>
  <sheets>
    <sheet name="Professor" sheetId="7" r:id="rId1"/>
    <sheet name="Aluno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6" l="1" a="1"/>
  <c r="K17" i="6" s="1"/>
  <c r="K17" i="7" a="1"/>
  <c r="K17" i="7" s="1"/>
  <c r="I10" i="7" a="1"/>
  <c r="I10" i="7" s="1"/>
  <c r="G10" i="7" a="1"/>
  <c r="G10" i="7" s="1"/>
  <c r="E10" i="7" a="1"/>
  <c r="E10" i="7" s="1"/>
  <c r="I10" i="6" a="1"/>
  <c r="I10" i="6" s="1"/>
  <c r="G10" i="6" a="1"/>
  <c r="G10" i="6" s="1"/>
  <c r="E10" i="6" a="1"/>
  <c r="E10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<sst xmlns="http://schemas.openxmlformats.org/spreadsheetml/2006/main" count="118" uniqueCount="30">
  <si>
    <t>Nome</t>
  </si>
  <si>
    <t>Acre</t>
  </si>
  <si>
    <t>Amazonas</t>
  </si>
  <si>
    <t>Maranhão</t>
  </si>
  <si>
    <t>Mato Grosso</t>
  </si>
  <si>
    <t>Paraná</t>
  </si>
  <si>
    <t>Estado</t>
  </si>
  <si>
    <t>Miguel</t>
  </si>
  <si>
    <t>Arthur</t>
  </si>
  <si>
    <t>Heitor</t>
  </si>
  <si>
    <t>Helena</t>
  </si>
  <si>
    <t>Alice</t>
  </si>
  <si>
    <t>Theo</t>
  </si>
  <si>
    <t>Davi</t>
  </si>
  <si>
    <t>Laura</t>
  </si>
  <si>
    <t>Gabriel</t>
  </si>
  <si>
    <t>Gael</t>
  </si>
  <si>
    <t>Bernardo</t>
  </si>
  <si>
    <t>Idade</t>
  </si>
  <si>
    <t>Samuel</t>
  </si>
  <si>
    <t>João Miguel</t>
  </si>
  <si>
    <t>Enzo Gabriel</t>
  </si>
  <si>
    <t>Heloísa</t>
  </si>
  <si>
    <t>Lorenzo</t>
  </si>
  <si>
    <t>Sophia</t>
  </si>
  <si>
    <t>Curso de Excel do Básico ao Avançado</t>
  </si>
  <si>
    <t>Professor:</t>
  </si>
  <si>
    <t xml:space="preserve">     Clevison Santos</t>
  </si>
  <si>
    <t>Aula:</t>
  </si>
  <si>
    <t xml:space="preserve"> FILTRO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</si>
</sst>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3" fillId="3" borderId="0" xfId="0" applyFont="1" applyFill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DEFB-72FA-4CC1-8B82-13BEDECBE19D}">
  <dimension ref="A1:N29"/>
  <sheetViews>
    <sheetView workbookViewId="0">
      <selection activeCell="A9" sqref="A9"/>
    </sheetView>
  </sheetViews>
  <sheetFormatPr defaultRowHeight="14.5" x14ac:dyDescent="0.35"/>
  <cols>
    <col min="1" max="3" width="19.1796875" customWidth="1"/>
    <col min="4" max="4" width="4" customWidth="1"/>
    <col min="5" max="5" width="18.54296875" hidden="1" customWidth="1"/>
    <col min="6" max="6" width="1.453125" hidden="1" customWidth="1"/>
    <col min="7" max="7" width="11.54296875" hidden="1" customWidth="1"/>
    <col min="8" max="8" width="1.90625" hidden="1" customWidth="1"/>
    <col min="9" max="9" width="18.08984375" hidden="1" customWidth="1"/>
    <col min="10" max="10" width="3.81640625" customWidth="1"/>
    <col min="11" max="11" width="14.1796875" customWidth="1"/>
    <col min="12" max="12" width="18.54296875" bestFit="1" customWidth="1"/>
    <col min="13" max="13" width="14.1796875" customWidth="1"/>
  </cols>
  <sheetData>
    <row r="1" spans="1:14" s="3" customFormat="1" ht="15.65" customHeight="1" x14ac:dyDescent="0.35">
      <c r="B1" s="13" t="s">
        <v>25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s="3" customFormat="1" ht="14.4" customHeight="1" x14ac:dyDescent="0.3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3" customFormat="1" ht="14.4" customHeight="1" x14ac:dyDescent="0.3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s="3" customFormat="1" ht="23.5" x14ac:dyDescent="0.55000000000000004">
      <c r="B4" s="14" t="s">
        <v>26</v>
      </c>
      <c r="C4" s="14"/>
      <c r="D4" s="4" t="s">
        <v>27</v>
      </c>
    </row>
    <row r="5" spans="1:14" s="3" customFormat="1" ht="23.5" x14ac:dyDescent="0.55000000000000004">
      <c r="B5" s="14" t="s">
        <v>28</v>
      </c>
      <c r="C5" s="14"/>
      <c r="D5" s="4" t="s">
        <v>29</v>
      </c>
    </row>
    <row r="6" spans="1:14" s="3" customFormat="1" x14ac:dyDescent="0.35"/>
    <row r="9" spans="1:14" ht="23.5" x14ac:dyDescent="0.35">
      <c r="A9" s="7" t="s">
        <v>6</v>
      </c>
      <c r="B9" s="7" t="s">
        <v>0</v>
      </c>
      <c r="C9" s="7" t="s">
        <v>18</v>
      </c>
      <c r="D9" s="2"/>
      <c r="E9" s="8" t="s">
        <v>6</v>
      </c>
      <c r="F9" s="2"/>
      <c r="G9" s="8" t="s">
        <v>18</v>
      </c>
      <c r="H9" s="2"/>
      <c r="I9" s="8" t="s">
        <v>0</v>
      </c>
      <c r="K9" s="9" t="s">
        <v>6</v>
      </c>
      <c r="L9" s="10" t="s">
        <v>4</v>
      </c>
    </row>
    <row r="10" spans="1:14" ht="23.5" x14ac:dyDescent="0.55000000000000004">
      <c r="A10" s="5" t="s">
        <v>1</v>
      </c>
      <c r="B10" s="5" t="s">
        <v>7</v>
      </c>
      <c r="C10" s="6">
        <v>19</v>
      </c>
      <c r="E10" s="6" t="str" cm="1">
        <f t="array" ref="E10:E14">_xlfn._xlws.SORT(_xlfn.UNIQUE(A10:A29),1)</f>
        <v>Acre</v>
      </c>
      <c r="G10" s="6" cm="1">
        <f t="array" ref="G10:G16">_xlfn._xlws.SORT(_xlfn.UNIQUE(C10:C29),1)</f>
        <v>18</v>
      </c>
      <c r="I10" s="6" t="str" cm="1">
        <f t="array" ref="I10:I23">_xlfn._xlws.SORT(_xlfn.UNIQUE(B10:B29),1)</f>
        <v>Arthur</v>
      </c>
      <c r="L10" s="1"/>
    </row>
    <row r="11" spans="1:14" ht="23.5" x14ac:dyDescent="0.55000000000000004">
      <c r="A11" s="5" t="s">
        <v>5</v>
      </c>
      <c r="B11" s="5" t="s">
        <v>8</v>
      </c>
      <c r="C11" s="6">
        <v>21</v>
      </c>
      <c r="E11" s="6" t="str">
        <v>Amazonas</v>
      </c>
      <c r="G11" s="6">
        <v>19</v>
      </c>
      <c r="I11" s="6" t="str">
        <v>Bernardo</v>
      </c>
      <c r="K11" s="9" t="s">
        <v>18</v>
      </c>
      <c r="L11" s="10">
        <v>18</v>
      </c>
    </row>
    <row r="12" spans="1:14" ht="23.5" x14ac:dyDescent="0.55000000000000004">
      <c r="A12" s="5" t="s">
        <v>1</v>
      </c>
      <c r="B12" s="5" t="s">
        <v>9</v>
      </c>
      <c r="C12" s="6">
        <v>30</v>
      </c>
      <c r="E12" s="6" t="str">
        <v>Maranhão</v>
      </c>
      <c r="G12" s="6">
        <v>21</v>
      </c>
      <c r="I12" s="6" t="str">
        <v>Enzo Gabriel</v>
      </c>
      <c r="L12" s="1"/>
    </row>
    <row r="13" spans="1:14" ht="23.5" x14ac:dyDescent="0.55000000000000004">
      <c r="A13" s="5" t="s">
        <v>4</v>
      </c>
      <c r="B13" s="5" t="s">
        <v>17</v>
      </c>
      <c r="C13" s="6">
        <v>18</v>
      </c>
      <c r="E13" s="6" t="str">
        <v>Mato Grosso</v>
      </c>
      <c r="G13" s="6">
        <v>30</v>
      </c>
      <c r="I13" s="6" t="str">
        <v>Gabriel</v>
      </c>
      <c r="K13" s="9" t="s">
        <v>0</v>
      </c>
      <c r="L13" s="10" t="s">
        <v>17</v>
      </c>
    </row>
    <row r="14" spans="1:14" ht="23.5" x14ac:dyDescent="0.55000000000000004">
      <c r="A14" s="5" t="s">
        <v>4</v>
      </c>
      <c r="B14" s="5" t="s">
        <v>17</v>
      </c>
      <c r="C14" s="6">
        <v>18</v>
      </c>
      <c r="E14" s="6" t="str">
        <v>Paraná</v>
      </c>
      <c r="G14" s="6">
        <v>31</v>
      </c>
      <c r="I14" s="6" t="str">
        <v>Gael</v>
      </c>
    </row>
    <row r="15" spans="1:14" ht="23.5" x14ac:dyDescent="0.55000000000000004">
      <c r="A15" s="5" t="s">
        <v>3</v>
      </c>
      <c r="B15" s="5" t="s">
        <v>12</v>
      </c>
      <c r="C15" s="6">
        <v>30</v>
      </c>
      <c r="G15" s="6">
        <v>38</v>
      </c>
      <c r="I15" s="6" t="str">
        <v>Heitor</v>
      </c>
    </row>
    <row r="16" spans="1:14" ht="23.5" x14ac:dyDescent="0.55000000000000004">
      <c r="A16" s="5" t="s">
        <v>5</v>
      </c>
      <c r="B16" s="5" t="s">
        <v>8</v>
      </c>
      <c r="C16" s="6">
        <v>21</v>
      </c>
      <c r="G16" s="6">
        <v>49</v>
      </c>
      <c r="I16" s="6" t="str">
        <v>Heloísa</v>
      </c>
      <c r="K16" s="7" t="s">
        <v>6</v>
      </c>
      <c r="L16" s="7" t="s">
        <v>0</v>
      </c>
      <c r="M16" s="7" t="s">
        <v>18</v>
      </c>
    </row>
    <row r="17" spans="1:13" ht="23.5" x14ac:dyDescent="0.55000000000000004">
      <c r="A17" s="5" t="s">
        <v>5</v>
      </c>
      <c r="B17" s="5" t="s">
        <v>14</v>
      </c>
      <c r="C17" s="6">
        <v>31</v>
      </c>
      <c r="I17" s="6" t="str">
        <v>João Miguel</v>
      </c>
      <c r="K17" s="11" t="str" cm="1">
        <f t="array" ref="K17:M19">_xlfn._xlws.FILTER(A10:C29,(A10:A29=L9)*(C10:C29=L11)*(B10:B29=L13),"")</f>
        <v>Mato Grosso</v>
      </c>
      <c r="L17" s="11" t="str">
        <v>Bernardo</v>
      </c>
      <c r="M17" s="12">
        <v>18</v>
      </c>
    </row>
    <row r="18" spans="1:13" ht="23.5" x14ac:dyDescent="0.55000000000000004">
      <c r="A18" s="5" t="s">
        <v>5</v>
      </c>
      <c r="B18" s="5" t="s">
        <v>15</v>
      </c>
      <c r="C18" s="6">
        <v>38</v>
      </c>
      <c r="I18" s="6" t="str">
        <v>Laura</v>
      </c>
      <c r="K18" t="str">
        <v>Mato Grosso</v>
      </c>
      <c r="L18" t="str">
        <v>Bernardo</v>
      </c>
      <c r="M18">
        <v>18</v>
      </c>
    </row>
    <row r="19" spans="1:13" ht="23.5" x14ac:dyDescent="0.55000000000000004">
      <c r="A19" s="5" t="s">
        <v>3</v>
      </c>
      <c r="B19" s="5" t="s">
        <v>16</v>
      </c>
      <c r="C19" s="6">
        <v>21</v>
      </c>
      <c r="I19" s="6" t="str">
        <v>Lorenzo</v>
      </c>
      <c r="K19" t="str">
        <v>Mato Grosso</v>
      </c>
      <c r="L19" t="str">
        <v>Bernardo</v>
      </c>
      <c r="M19">
        <v>18</v>
      </c>
    </row>
    <row r="20" spans="1:13" ht="23.5" x14ac:dyDescent="0.55000000000000004">
      <c r="A20" s="5" t="s">
        <v>4</v>
      </c>
      <c r="B20" s="5" t="s">
        <v>17</v>
      </c>
      <c r="C20" s="6">
        <v>18</v>
      </c>
      <c r="I20" s="6" t="str">
        <v>Miguel</v>
      </c>
    </row>
    <row r="21" spans="1:13" ht="23.5" x14ac:dyDescent="0.55000000000000004">
      <c r="A21" s="5" t="s">
        <v>1</v>
      </c>
      <c r="B21" s="5" t="s">
        <v>19</v>
      </c>
      <c r="C21" s="6">
        <v>30</v>
      </c>
      <c r="I21" s="6" t="str">
        <v>Samuel</v>
      </c>
    </row>
    <row r="22" spans="1:13" ht="23.5" x14ac:dyDescent="0.55000000000000004">
      <c r="A22" s="5" t="s">
        <v>5</v>
      </c>
      <c r="B22" s="5" t="s">
        <v>7</v>
      </c>
      <c r="C22" s="6">
        <v>21</v>
      </c>
      <c r="I22" s="6" t="str">
        <v>Sophia</v>
      </c>
    </row>
    <row r="23" spans="1:13" ht="23.5" x14ac:dyDescent="0.55000000000000004">
      <c r="A23" s="5" t="s">
        <v>1</v>
      </c>
      <c r="B23" s="5" t="s">
        <v>20</v>
      </c>
      <c r="C23" s="6">
        <v>30</v>
      </c>
      <c r="I23" s="6" t="str">
        <v>Theo</v>
      </c>
    </row>
    <row r="24" spans="1:13" ht="23.5" x14ac:dyDescent="0.55000000000000004">
      <c r="A24" s="5" t="s">
        <v>2</v>
      </c>
      <c r="B24" s="5" t="s">
        <v>21</v>
      </c>
      <c r="C24" s="6">
        <v>21</v>
      </c>
      <c r="I24" s="6"/>
    </row>
    <row r="25" spans="1:13" ht="23.5" x14ac:dyDescent="0.55000000000000004">
      <c r="A25" s="5" t="s">
        <v>3</v>
      </c>
      <c r="B25" s="5" t="s">
        <v>22</v>
      </c>
      <c r="C25" s="6">
        <v>18</v>
      </c>
      <c r="I25" s="6"/>
    </row>
    <row r="26" spans="1:13" ht="23.5" x14ac:dyDescent="0.55000000000000004">
      <c r="A26" s="5" t="s">
        <v>3</v>
      </c>
      <c r="B26" s="5" t="s">
        <v>9</v>
      </c>
      <c r="C26" s="6">
        <v>30</v>
      </c>
      <c r="I26" s="6"/>
    </row>
    <row r="27" spans="1:13" ht="23.5" x14ac:dyDescent="0.55000000000000004">
      <c r="A27" s="5" t="s">
        <v>5</v>
      </c>
      <c r="B27" s="5" t="s">
        <v>23</v>
      </c>
      <c r="C27" s="6">
        <v>49</v>
      </c>
    </row>
    <row r="28" spans="1:13" ht="23.5" x14ac:dyDescent="0.55000000000000004">
      <c r="A28" s="5" t="s">
        <v>5</v>
      </c>
      <c r="B28" s="5" t="s">
        <v>24</v>
      </c>
      <c r="C28" s="6">
        <v>31</v>
      </c>
    </row>
    <row r="29" spans="1:13" ht="23.5" x14ac:dyDescent="0.55000000000000004">
      <c r="A29" s="5" t="s">
        <v>5</v>
      </c>
      <c r="B29" s="5" t="s">
        <v>8</v>
      </c>
      <c r="C29" s="6">
        <v>38</v>
      </c>
    </row>
  </sheetData>
  <mergeCells count="3">
    <mergeCell ref="B1:N3"/>
    <mergeCell ref="B4:C4"/>
    <mergeCell ref="B5:C5"/>
  </mergeCells>
  <dataValidations count="3">
    <dataValidation type="list" allowBlank="1" showInputMessage="1" showErrorMessage="1" sqref="L11" xr:uid="{68A81349-CC31-4099-BE60-3295B3ECEF92}">
      <formula1>_xlfn.ANCHORARRAY($G$10)</formula1>
    </dataValidation>
    <dataValidation type="list" allowBlank="1" showInputMessage="1" showErrorMessage="1" sqref="L9" xr:uid="{C50857EE-5E64-4141-8461-84DAB500D46D}">
      <formula1>_xlfn.ANCHORARRAY($E$10)</formula1>
    </dataValidation>
    <dataValidation type="list" allowBlank="1" showInputMessage="1" showErrorMessage="1" sqref="L13" xr:uid="{FDA93679-4D6A-4B85-AE1B-C09E172D1F7D}">
      <formula1>_xlfn.ANCHORARRAY($I$10)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E87B-B60A-4EFC-88AE-75D2F04FA0F9}">
  <dimension ref="A1:N29"/>
  <sheetViews>
    <sheetView tabSelected="1" topLeftCell="A5" workbookViewId="0">
      <selection activeCell="L9" sqref="L9"/>
    </sheetView>
  </sheetViews>
  <sheetFormatPr defaultRowHeight="14.5" x14ac:dyDescent="0.35"/>
  <cols>
    <col min="1" max="3" width="19.1796875" customWidth="1"/>
    <col min="4" max="4" width="4" customWidth="1"/>
    <col min="5" max="5" width="18.54296875" hidden="1" customWidth="1"/>
    <col min="6" max="6" width="1.453125" hidden="1" customWidth="1"/>
    <col min="7" max="7" width="11.54296875" hidden="1" customWidth="1"/>
    <col min="8" max="8" width="1.90625" hidden="1" customWidth="1"/>
    <col min="9" max="9" width="18.08984375" hidden="1" customWidth="1"/>
    <col min="10" max="10" width="3.81640625" customWidth="1"/>
    <col min="11" max="13" width="14.1796875" customWidth="1"/>
  </cols>
  <sheetData>
    <row r="1" spans="1:14" s="3" customFormat="1" ht="15.65" customHeight="1" x14ac:dyDescent="0.35">
      <c r="B1" s="13" t="s">
        <v>25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s="3" customFormat="1" ht="14.4" customHeight="1" x14ac:dyDescent="0.35"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s="3" customFormat="1" ht="14.4" customHeight="1" x14ac:dyDescent="0.35"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s="3" customFormat="1" ht="23.5" x14ac:dyDescent="0.55000000000000004">
      <c r="B4" s="14" t="s">
        <v>26</v>
      </c>
      <c r="C4" s="14"/>
      <c r="D4" s="4" t="s">
        <v>27</v>
      </c>
    </row>
    <row r="5" spans="1:14" s="3" customFormat="1" ht="23.5" x14ac:dyDescent="0.55000000000000004">
      <c r="B5" s="14" t="s">
        <v>28</v>
      </c>
      <c r="C5" s="14"/>
      <c r="D5" s="4" t="s">
        <v>29</v>
      </c>
    </row>
    <row r="6" spans="1:14" s="3" customFormat="1" x14ac:dyDescent="0.35"/>
    <row r="9" spans="1:14" ht="23.5" x14ac:dyDescent="0.35">
      <c r="A9" s="7" t="s">
        <v>6</v>
      </c>
      <c r="B9" s="7" t="s">
        <v>0</v>
      </c>
      <c r="C9" s="7" t="s">
        <v>18</v>
      </c>
      <c r="D9" s="2"/>
      <c r="E9" s="8" t="s">
        <v>6</v>
      </c>
      <c r="F9" s="2"/>
      <c r="G9" s="8" t="s">
        <v>18</v>
      </c>
      <c r="H9" s="2"/>
      <c r="I9" s="8" t="s">
        <v>0</v>
      </c>
      <c r="K9" s="9" t="s">
        <v>6</v>
      </c>
      <c r="L9" s="10" t="s">
        <v>4</v>
      </c>
    </row>
    <row r="10" spans="1:14" ht="23.5" x14ac:dyDescent="0.55000000000000004">
      <c r="A10" s="5" t="s">
        <v>1</v>
      </c>
      <c r="B10" s="5" t="s">
        <v>7</v>
      </c>
      <c r="C10" s="6">
        <v>19</v>
      </c>
      <c r="E10" s="6" t="str" cm="1">
        <f t="array" ref="E10:E14">_xlfn._xlws.SORT(_xlfn.UNIQUE(A10:A29),1)</f>
        <v>Acre</v>
      </c>
      <c r="G10" s="6" cm="1">
        <f t="array" ref="G10:G16">_xlfn._xlws.SORT(_xlfn.UNIQUE(C10:C29),1)</f>
        <v>18</v>
      </c>
      <c r="I10" s="6" t="str" cm="1">
        <f t="array" ref="I10:I26">_xlfn._xlws.SORT(_xlfn.UNIQUE(B10:B29),1)</f>
        <v>Alice</v>
      </c>
      <c r="L10" s="1"/>
    </row>
    <row r="11" spans="1:14" ht="23.5" x14ac:dyDescent="0.55000000000000004">
      <c r="A11" s="5" t="s">
        <v>5</v>
      </c>
      <c r="B11" s="5" t="s">
        <v>8</v>
      </c>
      <c r="C11" s="6">
        <v>21</v>
      </c>
      <c r="E11" s="6" t="str">
        <v>Amazonas</v>
      </c>
      <c r="G11" s="6">
        <v>19</v>
      </c>
      <c r="I11" s="6" t="str">
        <v>Arthur</v>
      </c>
      <c r="K11" s="9" t="s">
        <v>18</v>
      </c>
      <c r="L11" s="10">
        <v>18</v>
      </c>
    </row>
    <row r="12" spans="1:14" ht="23.5" x14ac:dyDescent="0.55000000000000004">
      <c r="A12" s="5" t="s">
        <v>1</v>
      </c>
      <c r="B12" s="5" t="s">
        <v>9</v>
      </c>
      <c r="C12" s="6">
        <v>30</v>
      </c>
      <c r="E12" s="6" t="str">
        <v>Maranhão</v>
      </c>
      <c r="G12" s="6">
        <v>21</v>
      </c>
      <c r="I12" s="6" t="str">
        <v>Bernardo</v>
      </c>
      <c r="L12" s="1"/>
    </row>
    <row r="13" spans="1:14" ht="23.5" x14ac:dyDescent="0.55000000000000004">
      <c r="A13" s="5" t="s">
        <v>2</v>
      </c>
      <c r="B13" s="5" t="s">
        <v>10</v>
      </c>
      <c r="C13" s="6">
        <v>21</v>
      </c>
      <c r="E13" s="6" t="str">
        <v>Mato Grosso</v>
      </c>
      <c r="G13" s="6">
        <v>30</v>
      </c>
      <c r="I13" s="6" t="str">
        <v>Davi</v>
      </c>
      <c r="K13" s="9" t="s">
        <v>0</v>
      </c>
      <c r="L13" s="10" t="s">
        <v>17</v>
      </c>
    </row>
    <row r="14" spans="1:14" ht="23.5" x14ac:dyDescent="0.55000000000000004">
      <c r="A14" s="5" t="s">
        <v>3</v>
      </c>
      <c r="B14" s="5" t="s">
        <v>11</v>
      </c>
      <c r="C14" s="6">
        <v>18</v>
      </c>
      <c r="E14" s="6" t="str">
        <v>Paraná</v>
      </c>
      <c r="G14" s="6">
        <v>31</v>
      </c>
      <c r="I14" s="6" t="str">
        <v>Enzo Gabriel</v>
      </c>
    </row>
    <row r="15" spans="1:14" ht="23.5" x14ac:dyDescent="0.55000000000000004">
      <c r="A15" s="5" t="s">
        <v>3</v>
      </c>
      <c r="B15" s="5" t="s">
        <v>12</v>
      </c>
      <c r="C15" s="6">
        <v>30</v>
      </c>
      <c r="G15" s="6">
        <v>38</v>
      </c>
      <c r="I15" s="6" t="str">
        <v>Gabriel</v>
      </c>
    </row>
    <row r="16" spans="1:14" ht="23.5" x14ac:dyDescent="0.55000000000000004">
      <c r="A16" s="5" t="s">
        <v>5</v>
      </c>
      <c r="B16" s="5" t="s">
        <v>13</v>
      </c>
      <c r="C16" s="6">
        <v>49</v>
      </c>
      <c r="G16" s="6">
        <v>49</v>
      </c>
      <c r="I16" s="6" t="str">
        <v>Gael</v>
      </c>
      <c r="K16" s="7" t="s">
        <v>6</v>
      </c>
      <c r="L16" s="7" t="s">
        <v>0</v>
      </c>
      <c r="M16" s="7" t="s">
        <v>18</v>
      </c>
    </row>
    <row r="17" spans="1:13" ht="23.5" x14ac:dyDescent="0.55000000000000004">
      <c r="A17" s="5" t="s">
        <v>5</v>
      </c>
      <c r="B17" s="5" t="s">
        <v>14</v>
      </c>
      <c r="C17" s="6">
        <v>31</v>
      </c>
      <c r="I17" s="6" t="str">
        <v>Heitor</v>
      </c>
      <c r="K17" s="5" t="str" cm="1">
        <f t="array" ref="K17:M17">_xlfn._xlws.FILTER(A10:C29,(A10:A29=L9)*(B10:B29=L13)*(C10:C29=L11),0)</f>
        <v>Mato Grosso</v>
      </c>
      <c r="L17" s="5" t="str">
        <v>Bernardo</v>
      </c>
      <c r="M17" s="6">
        <v>18</v>
      </c>
    </row>
    <row r="18" spans="1:13" ht="23.5" x14ac:dyDescent="0.55000000000000004">
      <c r="A18" s="5" t="s">
        <v>5</v>
      </c>
      <c r="B18" s="5" t="s">
        <v>15</v>
      </c>
      <c r="C18" s="6">
        <v>38</v>
      </c>
      <c r="I18" s="6" t="str">
        <v>Helena</v>
      </c>
    </row>
    <row r="19" spans="1:13" ht="23.5" x14ac:dyDescent="0.55000000000000004">
      <c r="A19" s="5" t="s">
        <v>3</v>
      </c>
      <c r="B19" s="5" t="s">
        <v>16</v>
      </c>
      <c r="C19" s="6">
        <v>21</v>
      </c>
      <c r="I19" s="6" t="str">
        <v>Heloísa</v>
      </c>
    </row>
    <row r="20" spans="1:13" ht="23.5" x14ac:dyDescent="0.55000000000000004">
      <c r="A20" s="5" t="s">
        <v>4</v>
      </c>
      <c r="B20" s="5" t="s">
        <v>17</v>
      </c>
      <c r="C20" s="6">
        <v>18</v>
      </c>
      <c r="I20" s="6" t="str">
        <v>João Miguel</v>
      </c>
    </row>
    <row r="21" spans="1:13" ht="23.5" x14ac:dyDescent="0.55000000000000004">
      <c r="A21" s="5" t="s">
        <v>1</v>
      </c>
      <c r="B21" s="5" t="s">
        <v>19</v>
      </c>
      <c r="C21" s="6">
        <v>30</v>
      </c>
      <c r="I21" s="6" t="str">
        <v>Laura</v>
      </c>
    </row>
    <row r="22" spans="1:13" ht="23.5" x14ac:dyDescent="0.55000000000000004">
      <c r="A22" s="5" t="s">
        <v>5</v>
      </c>
      <c r="B22" s="5" t="s">
        <v>7</v>
      </c>
      <c r="C22" s="6">
        <v>21</v>
      </c>
      <c r="I22" s="6" t="str">
        <v>Lorenzo</v>
      </c>
    </row>
    <row r="23" spans="1:13" ht="23.5" x14ac:dyDescent="0.55000000000000004">
      <c r="A23" s="5" t="s">
        <v>1</v>
      </c>
      <c r="B23" s="5" t="s">
        <v>20</v>
      </c>
      <c r="C23" s="6">
        <v>30</v>
      </c>
      <c r="I23" s="6" t="str">
        <v>Miguel</v>
      </c>
    </row>
    <row r="24" spans="1:13" ht="23.5" x14ac:dyDescent="0.55000000000000004">
      <c r="A24" s="5" t="s">
        <v>2</v>
      </c>
      <c r="B24" s="5" t="s">
        <v>21</v>
      </c>
      <c r="C24" s="6">
        <v>21</v>
      </c>
      <c r="I24" s="6" t="str">
        <v>Samuel</v>
      </c>
    </row>
    <row r="25" spans="1:13" ht="23.5" x14ac:dyDescent="0.55000000000000004">
      <c r="A25" s="5" t="s">
        <v>3</v>
      </c>
      <c r="B25" s="5" t="s">
        <v>22</v>
      </c>
      <c r="C25" s="6">
        <v>18</v>
      </c>
      <c r="I25" s="6" t="str">
        <v>Sophia</v>
      </c>
    </row>
    <row r="26" spans="1:13" ht="23.5" x14ac:dyDescent="0.55000000000000004">
      <c r="A26" s="5" t="s">
        <v>3</v>
      </c>
      <c r="B26" s="5" t="s">
        <v>9</v>
      </c>
      <c r="C26" s="6">
        <v>30</v>
      </c>
      <c r="I26" s="6" t="str">
        <v>Theo</v>
      </c>
    </row>
    <row r="27" spans="1:13" ht="23.5" x14ac:dyDescent="0.55000000000000004">
      <c r="A27" s="5" t="s">
        <v>5</v>
      </c>
      <c r="B27" s="5" t="s">
        <v>23</v>
      </c>
      <c r="C27" s="6">
        <v>49</v>
      </c>
    </row>
    <row r="28" spans="1:13" ht="23.5" x14ac:dyDescent="0.55000000000000004">
      <c r="A28" s="5" t="s">
        <v>5</v>
      </c>
      <c r="B28" s="5" t="s">
        <v>24</v>
      </c>
      <c r="C28" s="6">
        <v>31</v>
      </c>
    </row>
    <row r="29" spans="1:13" ht="23.5" x14ac:dyDescent="0.55000000000000004">
      <c r="A29" s="5" t="s">
        <v>5</v>
      </c>
      <c r="B29" s="5" t="s">
        <v>8</v>
      </c>
      <c r="C29" s="6">
        <v>38</v>
      </c>
    </row>
  </sheetData>
  <mergeCells count="3">
    <mergeCell ref="B1:N3"/>
    <mergeCell ref="B4:C4"/>
    <mergeCell ref="B5:C5"/>
  </mergeCells>
  <dataValidations count="3">
    <dataValidation type="list" allowBlank="1" showInputMessage="1" showErrorMessage="1" sqref="L13" xr:uid="{8B9E4447-F68E-452A-A2B4-A4B48DE0040E}">
      <formula1>_xlfn.ANCHORARRAY($I$10)</formula1>
    </dataValidation>
    <dataValidation type="list" allowBlank="1" showInputMessage="1" showErrorMessage="1" sqref="L9" xr:uid="{922FFA2E-F959-4D3E-AD7E-D382ACF4B1DA}">
      <formula1>_xlfn.ANCHORARRAY($E$10)</formula1>
    </dataValidation>
    <dataValidation type="list" allowBlank="1" showInputMessage="1" showErrorMessage="1" sqref="L11" xr:uid="{0B16D333-D70C-4733-AED2-B86810ABBC59}">
      <formula1>_xlfn.ANCHORARRAY($G$10)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2021-12-20T13:17:28Z</dcterms:created>
  <dcterms:modified xsi:type="dcterms:W3CDTF">2026-08-07T13:52:27Z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2026-08-05T01:12:05Z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49336dca-c65c-49fd-b400-8c3ab3929f9e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
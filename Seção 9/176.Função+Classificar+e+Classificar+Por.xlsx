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27" documentId="8_{A1877E64-80EA-4A3A-A8D0-48B30F475B2C}" xr6:coauthVersionLast="47" xr6:coauthVersionMax="47" xr10:uidLastSave="{F50FED83-C683-4F03-92A8-D4538328A178}"/>
  <bookViews>
    <workbookView xWindow="-110" yWindow="-110" windowWidth="19420" windowHeight="11500" activeTab="1" xr2:uid="{0B4EE6E4-6187-4B9B-B4B8-6CFBBA85DCD0}"/>
  </bookViews>
  <sheets>
    <sheet name="Professor" sheetId="1" r:id="rId1"/>
    <sheet name="Aluno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6" l="1" a="1"/>
  <c r="F47" i="6" s="1"/>
  <c r="H29" i="6" a="1"/>
  <c r="H29" i="6" s="1"/>
  <c r="F29" i="6" a="1"/>
  <c r="F29" i="6" s="1"/>
  <c r="F11" i="6" a="1"/>
  <c r="F11" i="6" s="1"/>
  <c r="F47" i="1" a="1"/>
  <c r="F47" i="1" s="1"/>
  <c r="H29" i="1" a="1"/>
  <c r="H29" i="1" s="1"/>
  <c r="F29" i="1" a="1"/>
  <c r="F29" i="1" s="1"/>
  <c r="F11" i="1" a="1"/>
  <c r="F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<sst xmlns="http://schemas.openxmlformats.org/spreadsheetml/2006/main" count="180" uniqueCount="28">
  <si>
    <t>Nome</t>
  </si>
  <si>
    <t>Acre</t>
  </si>
  <si>
    <t>Amazonas</t>
  </si>
  <si>
    <t>Maranhão</t>
  </si>
  <si>
    <t>Mato Grosso</t>
  </si>
  <si>
    <t>Paraná</t>
  </si>
  <si>
    <t>Estado</t>
  </si>
  <si>
    <t>Miguel</t>
  </si>
  <si>
    <t>Arthur</t>
  </si>
  <si>
    <t>Heitor</t>
  </si>
  <si>
    <t>Helena</t>
  </si>
  <si>
    <t>Alice</t>
  </si>
  <si>
    <t>Theo</t>
  </si>
  <si>
    <t>Davi</t>
  </si>
  <si>
    <t>Laura</t>
  </si>
  <si>
    <t>Gabriel</t>
  </si>
  <si>
    <t>Gael</t>
  </si>
  <si>
    <t>Bernardo</t>
  </si>
  <si>
    <t>Idade</t>
  </si>
  <si>
    <t>Curso de Excel do Básico ao Avançado</t>
  </si>
  <si>
    <t>Professor:</t>
  </si>
  <si>
    <t xml:space="preserve">     Clevison Santos</t>
  </si>
  <si>
    <t>Aula:</t>
  </si>
  <si>
    <t>Classificar por Idade</t>
  </si>
  <si>
    <t>Idade Maior</t>
  </si>
  <si>
    <t>Idade Menor</t>
  </si>
  <si>
    <t>Classificar por Estado e Nome</t>
  </si>
  <si>
    <t xml:space="preserve"> CLASSIFICAR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</si>
</sst>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3" fillId="3" borderId="0" xfId="0" applyFont="1" applyFill="1"/>
    <xf numFmtId="0" fontId="4" fillId="2" borderId="2" xfId="0" applyFont="1" applyFill="1" applyBorder="1"/>
    <xf numFmtId="0" fontId="4" fillId="0" borderId="1" xfId="0" applyFont="1" applyBorder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CEFE-A12E-471C-B959-EFDB0A9F6D10}">
  <dimension ref="A1:N57"/>
  <sheetViews>
    <sheetView topLeftCell="A16" workbookViewId="0">
      <selection activeCell="A10" sqref="A10"/>
    </sheetView>
  </sheetViews>
  <sheetFormatPr defaultRowHeight="14.5" x14ac:dyDescent="0.35"/>
  <cols>
    <col min="1" max="1" width="18.54296875" customWidth="1"/>
    <col min="2" max="2" width="19.453125" customWidth="1"/>
    <col min="3" max="3" width="16.81640625" customWidth="1"/>
    <col min="6" max="6" width="18.54296875" bestFit="1" customWidth="1"/>
    <col min="7" max="7" width="13.81640625" bestFit="1" customWidth="1"/>
    <col min="8" max="8" width="18.6328125" bestFit="1" customWidth="1"/>
  </cols>
  <sheetData>
    <row r="1" spans="1:14" s="1" customFormat="1" x14ac:dyDescent="0.35"/>
    <row r="2" spans="1:14" s="1" customFormat="1" ht="15.65" customHeight="1" x14ac:dyDescent="0.35">
      <c r="B2" s="9" t="s">
        <v>19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1" customFormat="1" ht="14.4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s="1" customFormat="1" ht="14.4" customHeigh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s="1" customFormat="1" ht="23.5" x14ac:dyDescent="0.55000000000000004">
      <c r="B5" s="10" t="s">
        <v>20</v>
      </c>
      <c r="C5" s="10"/>
      <c r="D5" s="2" t="s">
        <v>21</v>
      </c>
    </row>
    <row r="6" spans="1:14" s="1" customFormat="1" ht="23.5" x14ac:dyDescent="0.55000000000000004">
      <c r="B6" s="10" t="s">
        <v>22</v>
      </c>
      <c r="C6" s="10"/>
      <c r="D6" s="2" t="s">
        <v>27</v>
      </c>
    </row>
    <row r="7" spans="1:14" s="1" customFormat="1" x14ac:dyDescent="0.35"/>
    <row r="10" spans="1:14" ht="23.5" x14ac:dyDescent="0.55000000000000004">
      <c r="A10" s="3" t="s">
        <v>6</v>
      </c>
      <c r="B10" s="3" t="s">
        <v>0</v>
      </c>
      <c r="C10" s="6" t="s">
        <v>18</v>
      </c>
      <c r="F10" s="3" t="s">
        <v>6</v>
      </c>
      <c r="G10" s="3" t="s">
        <v>0</v>
      </c>
      <c r="H10" s="6" t="s">
        <v>18</v>
      </c>
    </row>
    <row r="11" spans="1:14" ht="23.5" x14ac:dyDescent="0.55000000000000004">
      <c r="A11" s="4" t="s">
        <v>1</v>
      </c>
      <c r="B11" s="4" t="s">
        <v>7</v>
      </c>
      <c r="C11" s="7">
        <v>30</v>
      </c>
      <c r="F11" s="5" t="str" cm="1">
        <f t="array" ref="F11:H21">_xlfn._xlws.SORT(A11:C21,1,-1)</f>
        <v>Paraná</v>
      </c>
      <c r="G11" s="5" t="str">
        <v>Arthur</v>
      </c>
      <c r="H11" s="5">
        <v>21</v>
      </c>
    </row>
    <row r="12" spans="1:14" ht="23.5" x14ac:dyDescent="0.55000000000000004">
      <c r="A12" s="4" t="s">
        <v>5</v>
      </c>
      <c r="B12" s="4" t="s">
        <v>8</v>
      </c>
      <c r="C12" s="7">
        <v>21</v>
      </c>
      <c r="F12" s="5" t="str">
        <v>Paraná</v>
      </c>
      <c r="G12" s="5" t="str">
        <v>Davi</v>
      </c>
      <c r="H12" s="5">
        <v>49</v>
      </c>
    </row>
    <row r="13" spans="1:14" ht="23.5" x14ac:dyDescent="0.55000000000000004">
      <c r="A13" s="4" t="s">
        <v>1</v>
      </c>
      <c r="B13" s="4" t="s">
        <v>9</v>
      </c>
      <c r="C13" s="7">
        <v>43</v>
      </c>
      <c r="F13" s="5" t="str">
        <v>Paraná</v>
      </c>
      <c r="G13" s="5" t="str">
        <v>Laura</v>
      </c>
      <c r="H13" s="5">
        <v>31</v>
      </c>
    </row>
    <row r="14" spans="1:14" ht="23.5" x14ac:dyDescent="0.55000000000000004">
      <c r="A14" s="4" t="s">
        <v>2</v>
      </c>
      <c r="B14" s="4" t="s">
        <v>10</v>
      </c>
      <c r="C14" s="7">
        <v>35</v>
      </c>
      <c r="F14" s="5" t="str">
        <v>Paraná</v>
      </c>
      <c r="G14" s="5" t="str">
        <v>Gabriel</v>
      </c>
      <c r="H14" s="5">
        <v>38</v>
      </c>
    </row>
    <row r="15" spans="1:14" ht="23.5" x14ac:dyDescent="0.55000000000000004">
      <c r="A15" s="4" t="s">
        <v>3</v>
      </c>
      <c r="B15" s="4" t="s">
        <v>11</v>
      </c>
      <c r="C15" s="7">
        <v>18</v>
      </c>
      <c r="F15" s="5" t="str">
        <v>Mato Grosso</v>
      </c>
      <c r="G15" s="5" t="str">
        <v>Bernardo</v>
      </c>
      <c r="H15" s="5">
        <v>19</v>
      </c>
    </row>
    <row r="16" spans="1:14" ht="23.5" x14ac:dyDescent="0.55000000000000004">
      <c r="A16" s="4" t="s">
        <v>3</v>
      </c>
      <c r="B16" s="4" t="s">
        <v>12</v>
      </c>
      <c r="C16" s="7">
        <v>22</v>
      </c>
      <c r="F16" s="5" t="str">
        <v>Maranhão</v>
      </c>
      <c r="G16" s="5" t="str">
        <v>Alice</v>
      </c>
      <c r="H16" s="5">
        <v>18</v>
      </c>
    </row>
    <row r="17" spans="1:12" ht="23.5" x14ac:dyDescent="0.55000000000000004">
      <c r="A17" s="4" t="s">
        <v>5</v>
      </c>
      <c r="B17" s="4" t="s">
        <v>13</v>
      </c>
      <c r="C17" s="7">
        <v>49</v>
      </c>
      <c r="F17" s="5" t="str">
        <v>Maranhão</v>
      </c>
      <c r="G17" s="5" t="str">
        <v>Theo</v>
      </c>
      <c r="H17" s="5">
        <v>22</v>
      </c>
    </row>
    <row r="18" spans="1:12" ht="23.5" x14ac:dyDescent="0.55000000000000004">
      <c r="A18" s="4" t="s">
        <v>5</v>
      </c>
      <c r="B18" s="4" t="s">
        <v>14</v>
      </c>
      <c r="C18" s="7">
        <v>31</v>
      </c>
      <c r="F18" s="5" t="str">
        <v>Maranhão</v>
      </c>
      <c r="G18" s="5" t="str">
        <v>Gael</v>
      </c>
      <c r="H18" s="5">
        <v>25</v>
      </c>
    </row>
    <row r="19" spans="1:12" ht="23.5" x14ac:dyDescent="0.55000000000000004">
      <c r="A19" s="4" t="s">
        <v>5</v>
      </c>
      <c r="B19" s="4" t="s">
        <v>15</v>
      </c>
      <c r="C19" s="7">
        <v>38</v>
      </c>
      <c r="F19" s="5" t="str">
        <v>Amazonas</v>
      </c>
      <c r="G19" s="5" t="str">
        <v>Helena</v>
      </c>
      <c r="H19" s="5">
        <v>35</v>
      </c>
    </row>
    <row r="20" spans="1:12" ht="23.5" x14ac:dyDescent="0.55000000000000004">
      <c r="A20" s="4" t="s">
        <v>3</v>
      </c>
      <c r="B20" s="4" t="s">
        <v>16</v>
      </c>
      <c r="C20" s="7">
        <v>25</v>
      </c>
      <c r="F20" s="5" t="str">
        <v>Acre</v>
      </c>
      <c r="G20" s="5" t="str">
        <v>Miguel</v>
      </c>
      <c r="H20" s="5">
        <v>30</v>
      </c>
    </row>
    <row r="21" spans="1:12" ht="23.5" x14ac:dyDescent="0.55000000000000004">
      <c r="A21" s="4" t="s">
        <v>4</v>
      </c>
      <c r="B21" s="4" t="s">
        <v>17</v>
      </c>
      <c r="C21" s="7">
        <v>19</v>
      </c>
      <c r="F21" s="5" t="str">
        <v>Acre</v>
      </c>
      <c r="G21" s="5" t="str">
        <v>Heitor</v>
      </c>
      <c r="H21" s="5">
        <v>43</v>
      </c>
    </row>
    <row r="25" spans="1:12" ht="23.5" x14ac:dyDescent="0.55000000000000004">
      <c r="B25" s="11" t="s">
        <v>23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8" spans="1:12" ht="23.5" x14ac:dyDescent="0.55000000000000004">
      <c r="A28" s="3" t="s">
        <v>6</v>
      </c>
      <c r="B28" s="3" t="s">
        <v>0</v>
      </c>
      <c r="C28" s="6" t="s">
        <v>18</v>
      </c>
      <c r="F28" s="6" t="s">
        <v>24</v>
      </c>
      <c r="H28" s="6" t="s">
        <v>25</v>
      </c>
    </row>
    <row r="29" spans="1:12" ht="23.5" x14ac:dyDescent="0.55000000000000004">
      <c r="A29" s="4" t="s">
        <v>1</v>
      </c>
      <c r="B29" s="4" t="s">
        <v>7</v>
      </c>
      <c r="C29" s="7">
        <v>30</v>
      </c>
      <c r="F29" s="8" t="str" cm="1">
        <f t="array" ref="F29:F39">_xlfn.SORTBY(B29:B39,C29:C39,-1)</f>
        <v>Davi</v>
      </c>
      <c r="H29" s="8" t="str" cm="1">
        <f t="array" ref="H29:H39">_xlfn.SORTBY(B29:B39,C29:C39,1)</f>
        <v>Alice</v>
      </c>
    </row>
    <row r="30" spans="1:12" ht="23.5" x14ac:dyDescent="0.55000000000000004">
      <c r="A30" s="4" t="s">
        <v>5</v>
      </c>
      <c r="B30" s="4" t="s">
        <v>8</v>
      </c>
      <c r="C30" s="7">
        <v>21</v>
      </c>
      <c r="F30" s="8" t="str">
        <v>Heitor</v>
      </c>
      <c r="H30" s="8" t="str">
        <v>Bernardo</v>
      </c>
    </row>
    <row r="31" spans="1:12" ht="23.5" x14ac:dyDescent="0.55000000000000004">
      <c r="A31" s="4" t="s">
        <v>1</v>
      </c>
      <c r="B31" s="4" t="s">
        <v>9</v>
      </c>
      <c r="C31" s="7">
        <v>43</v>
      </c>
      <c r="F31" s="8" t="str">
        <v>Gabriel</v>
      </c>
      <c r="H31" s="8" t="str">
        <v>Arthur</v>
      </c>
    </row>
    <row r="32" spans="1:12" ht="23.5" x14ac:dyDescent="0.55000000000000004">
      <c r="A32" s="4" t="s">
        <v>2</v>
      </c>
      <c r="B32" s="4" t="s">
        <v>10</v>
      </c>
      <c r="C32" s="7">
        <v>35</v>
      </c>
      <c r="F32" s="8" t="str">
        <v>Helena</v>
      </c>
      <c r="H32" s="8" t="str">
        <v>Theo</v>
      </c>
    </row>
    <row r="33" spans="1:12" ht="23.5" x14ac:dyDescent="0.55000000000000004">
      <c r="A33" s="4" t="s">
        <v>3</v>
      </c>
      <c r="B33" s="4" t="s">
        <v>11</v>
      </c>
      <c r="C33" s="7">
        <v>18</v>
      </c>
      <c r="F33" s="8" t="str">
        <v>Laura</v>
      </c>
      <c r="H33" s="8" t="str">
        <v>Gael</v>
      </c>
    </row>
    <row r="34" spans="1:12" ht="23.5" x14ac:dyDescent="0.55000000000000004">
      <c r="A34" s="4" t="s">
        <v>3</v>
      </c>
      <c r="B34" s="4" t="s">
        <v>12</v>
      </c>
      <c r="C34" s="7">
        <v>22</v>
      </c>
      <c r="F34" s="8" t="str">
        <v>Miguel</v>
      </c>
      <c r="H34" s="8" t="str">
        <v>Miguel</v>
      </c>
    </row>
    <row r="35" spans="1:12" ht="23.5" x14ac:dyDescent="0.55000000000000004">
      <c r="A35" s="4" t="s">
        <v>5</v>
      </c>
      <c r="B35" s="4" t="s">
        <v>13</v>
      </c>
      <c r="C35" s="7">
        <v>49</v>
      </c>
      <c r="F35" s="8" t="str">
        <v>Gael</v>
      </c>
      <c r="H35" s="8" t="str">
        <v>Laura</v>
      </c>
    </row>
    <row r="36" spans="1:12" ht="23.5" x14ac:dyDescent="0.55000000000000004">
      <c r="A36" s="4" t="s">
        <v>5</v>
      </c>
      <c r="B36" s="4" t="s">
        <v>14</v>
      </c>
      <c r="C36" s="7">
        <v>31</v>
      </c>
      <c r="F36" s="8" t="str">
        <v>Theo</v>
      </c>
      <c r="H36" s="8" t="str">
        <v>Helena</v>
      </c>
    </row>
    <row r="37" spans="1:12" ht="23.5" x14ac:dyDescent="0.55000000000000004">
      <c r="A37" s="4" t="s">
        <v>5</v>
      </c>
      <c r="B37" s="4" t="s">
        <v>15</v>
      </c>
      <c r="C37" s="7">
        <v>38</v>
      </c>
      <c r="F37" s="8" t="str">
        <v>Arthur</v>
      </c>
      <c r="H37" s="8" t="str">
        <v>Gabriel</v>
      </c>
    </row>
    <row r="38" spans="1:12" ht="23.5" x14ac:dyDescent="0.55000000000000004">
      <c r="A38" s="4" t="s">
        <v>3</v>
      </c>
      <c r="B38" s="4" t="s">
        <v>16</v>
      </c>
      <c r="C38" s="7">
        <v>25</v>
      </c>
      <c r="F38" s="8" t="str">
        <v>Bernardo</v>
      </c>
      <c r="H38" s="8" t="str">
        <v>Heitor</v>
      </c>
    </row>
    <row r="39" spans="1:12" ht="23.5" x14ac:dyDescent="0.55000000000000004">
      <c r="A39" s="4" t="s">
        <v>4</v>
      </c>
      <c r="B39" s="4" t="s">
        <v>17</v>
      </c>
      <c r="C39" s="7">
        <v>19</v>
      </c>
      <c r="F39" s="8" t="str">
        <v>Alice</v>
      </c>
      <c r="H39" s="8" t="str">
        <v>Davi</v>
      </c>
    </row>
    <row r="43" spans="1:12" ht="23.5" x14ac:dyDescent="0.55000000000000004">
      <c r="B43" s="11" t="s">
        <v>26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6" spans="1:12" ht="23.5" x14ac:dyDescent="0.55000000000000004">
      <c r="A46" s="3" t="s">
        <v>6</v>
      </c>
      <c r="B46" s="3" t="s">
        <v>0</v>
      </c>
      <c r="C46" s="6" t="s">
        <v>18</v>
      </c>
      <c r="F46" s="3" t="s">
        <v>6</v>
      </c>
      <c r="G46" s="3" t="s">
        <v>0</v>
      </c>
      <c r="H46" s="6" t="s">
        <v>18</v>
      </c>
    </row>
    <row r="47" spans="1:12" ht="23.5" x14ac:dyDescent="0.55000000000000004">
      <c r="A47" s="4" t="s">
        <v>1</v>
      </c>
      <c r="B47" s="4" t="s">
        <v>7</v>
      </c>
      <c r="C47" s="7">
        <v>30</v>
      </c>
      <c r="F47" s="5" t="str" cm="1">
        <f t="array" ref="F47:H57">_xlfn.SORTBY(A47:C57,A47:A57,1,B47:B57,1)</f>
        <v>Acre</v>
      </c>
      <c r="G47" s="5" t="str">
        <v>Heitor</v>
      </c>
      <c r="H47" s="5">
        <v>43</v>
      </c>
    </row>
    <row r="48" spans="1:12" ht="23.5" x14ac:dyDescent="0.55000000000000004">
      <c r="A48" s="4" t="s">
        <v>5</v>
      </c>
      <c r="B48" s="4" t="s">
        <v>8</v>
      </c>
      <c r="C48" s="7">
        <v>21</v>
      </c>
      <c r="F48" s="5" t="str">
        <v>Acre</v>
      </c>
      <c r="G48" s="5" t="str">
        <v>Miguel</v>
      </c>
      <c r="H48" s="5">
        <v>30</v>
      </c>
    </row>
    <row r="49" spans="1:8" ht="23.5" x14ac:dyDescent="0.55000000000000004">
      <c r="A49" s="4" t="s">
        <v>1</v>
      </c>
      <c r="B49" s="4" t="s">
        <v>9</v>
      </c>
      <c r="C49" s="7">
        <v>43</v>
      </c>
      <c r="F49" s="5" t="str">
        <v>Amazonas</v>
      </c>
      <c r="G49" s="5" t="str">
        <v>Helena</v>
      </c>
      <c r="H49" s="5">
        <v>35</v>
      </c>
    </row>
    <row r="50" spans="1:8" ht="23.5" x14ac:dyDescent="0.55000000000000004">
      <c r="A50" s="4" t="s">
        <v>2</v>
      </c>
      <c r="B50" s="4" t="s">
        <v>10</v>
      </c>
      <c r="C50" s="7">
        <v>35</v>
      </c>
      <c r="F50" s="5" t="str">
        <v>Maranhão</v>
      </c>
      <c r="G50" s="5" t="str">
        <v>Alice</v>
      </c>
      <c r="H50" s="5">
        <v>18</v>
      </c>
    </row>
    <row r="51" spans="1:8" ht="23.5" x14ac:dyDescent="0.55000000000000004">
      <c r="A51" s="4" t="s">
        <v>3</v>
      </c>
      <c r="B51" s="4" t="s">
        <v>11</v>
      </c>
      <c r="C51" s="7">
        <v>18</v>
      </c>
      <c r="F51" s="5" t="str">
        <v>Maranhão</v>
      </c>
      <c r="G51" s="5" t="str">
        <v>Gael</v>
      </c>
      <c r="H51" s="5">
        <v>25</v>
      </c>
    </row>
    <row r="52" spans="1:8" ht="23.5" x14ac:dyDescent="0.55000000000000004">
      <c r="A52" s="4" t="s">
        <v>3</v>
      </c>
      <c r="B52" s="4" t="s">
        <v>12</v>
      </c>
      <c r="C52" s="7">
        <v>22</v>
      </c>
      <c r="F52" s="5" t="str">
        <v>Maranhão</v>
      </c>
      <c r="G52" s="5" t="str">
        <v>Theo</v>
      </c>
      <c r="H52" s="5">
        <v>22</v>
      </c>
    </row>
    <row r="53" spans="1:8" ht="23.5" x14ac:dyDescent="0.55000000000000004">
      <c r="A53" s="4" t="s">
        <v>5</v>
      </c>
      <c r="B53" s="4" t="s">
        <v>13</v>
      </c>
      <c r="C53" s="7">
        <v>49</v>
      </c>
      <c r="F53" s="5" t="str">
        <v>Mato Grosso</v>
      </c>
      <c r="G53" s="5" t="str">
        <v>Bernardo</v>
      </c>
      <c r="H53" s="5">
        <v>19</v>
      </c>
    </row>
    <row r="54" spans="1:8" ht="23.5" x14ac:dyDescent="0.55000000000000004">
      <c r="A54" s="4" t="s">
        <v>5</v>
      </c>
      <c r="B54" s="4" t="s">
        <v>14</v>
      </c>
      <c r="C54" s="7">
        <v>31</v>
      </c>
      <c r="F54" s="5" t="str">
        <v>Paraná</v>
      </c>
      <c r="G54" s="5" t="str">
        <v>Arthur</v>
      </c>
      <c r="H54" s="5">
        <v>21</v>
      </c>
    </row>
    <row r="55" spans="1:8" ht="23.5" x14ac:dyDescent="0.55000000000000004">
      <c r="A55" s="4" t="s">
        <v>5</v>
      </c>
      <c r="B55" s="4" t="s">
        <v>15</v>
      </c>
      <c r="C55" s="7">
        <v>38</v>
      </c>
      <c r="F55" s="5" t="str">
        <v>Paraná</v>
      </c>
      <c r="G55" s="5" t="str">
        <v>Davi</v>
      </c>
      <c r="H55" s="5">
        <v>49</v>
      </c>
    </row>
    <row r="56" spans="1:8" ht="23.5" x14ac:dyDescent="0.55000000000000004">
      <c r="A56" s="4" t="s">
        <v>3</v>
      </c>
      <c r="B56" s="4" t="s">
        <v>16</v>
      </c>
      <c r="C56" s="7">
        <v>25</v>
      </c>
      <c r="F56" s="5" t="str">
        <v>Paraná</v>
      </c>
      <c r="G56" s="5" t="str">
        <v>Gabriel</v>
      </c>
      <c r="H56" s="5">
        <v>38</v>
      </c>
    </row>
    <row r="57" spans="1:8" ht="23.5" x14ac:dyDescent="0.55000000000000004">
      <c r="A57" s="4" t="s">
        <v>4</v>
      </c>
      <c r="B57" s="4" t="s">
        <v>17</v>
      </c>
      <c r="C57" s="7">
        <v>19</v>
      </c>
      <c r="F57" s="5" t="str">
        <v>Paraná</v>
      </c>
      <c r="G57" s="5" t="str">
        <v>Laura</v>
      </c>
      <c r="H57" s="5">
        <v>31</v>
      </c>
    </row>
  </sheetData>
  <mergeCells count="5">
    <mergeCell ref="B2:N4"/>
    <mergeCell ref="B5:C5"/>
    <mergeCell ref="B6:C6"/>
    <mergeCell ref="B25:L25"/>
    <mergeCell ref="B43:L43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F0C2-9FCF-4C14-B079-28DA8726DF26}">
  <dimension ref="A1:N57"/>
  <sheetViews>
    <sheetView tabSelected="1" topLeftCell="A43" workbookViewId="0">
      <selection activeCell="F48" sqref="F48"/>
    </sheetView>
  </sheetViews>
  <sheetFormatPr defaultRowHeight="14.5" x14ac:dyDescent="0.35"/>
  <cols>
    <col min="1" max="1" width="18.54296875" customWidth="1"/>
    <col min="2" max="2" width="19.453125" customWidth="1"/>
    <col min="3" max="3" width="16.81640625" customWidth="1"/>
    <col min="6" max="6" width="18.54296875" bestFit="1" customWidth="1"/>
    <col min="7" max="7" width="13.81640625" bestFit="1" customWidth="1"/>
    <col min="8" max="8" width="18.6328125" bestFit="1" customWidth="1"/>
  </cols>
  <sheetData>
    <row r="1" spans="1:14" s="1" customFormat="1" x14ac:dyDescent="0.35"/>
    <row r="2" spans="1:14" s="1" customFormat="1" ht="15.65" customHeight="1" x14ac:dyDescent="0.35">
      <c r="B2" s="9" t="s">
        <v>19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1" customFormat="1" ht="14.4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s="1" customFormat="1" ht="14.4" customHeight="1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s="1" customFormat="1" ht="23.5" x14ac:dyDescent="0.55000000000000004">
      <c r="B5" s="10" t="s">
        <v>20</v>
      </c>
      <c r="C5" s="10"/>
      <c r="D5" s="2" t="s">
        <v>21</v>
      </c>
    </row>
    <row r="6" spans="1:14" s="1" customFormat="1" ht="23.5" x14ac:dyDescent="0.55000000000000004">
      <c r="B6" s="10" t="s">
        <v>22</v>
      </c>
      <c r="C6" s="10"/>
      <c r="D6" s="2" t="s">
        <v>27</v>
      </c>
    </row>
    <row r="7" spans="1:14" s="1" customFormat="1" x14ac:dyDescent="0.35"/>
    <row r="10" spans="1:14" ht="23.5" x14ac:dyDescent="0.55000000000000004">
      <c r="A10" s="3" t="s">
        <v>6</v>
      </c>
      <c r="B10" s="3" t="s">
        <v>0</v>
      </c>
      <c r="C10" s="6" t="s">
        <v>18</v>
      </c>
      <c r="F10" s="3" t="s">
        <v>6</v>
      </c>
      <c r="G10" s="3" t="s">
        <v>0</v>
      </c>
      <c r="H10" s="6" t="s">
        <v>18</v>
      </c>
    </row>
    <row r="11" spans="1:14" ht="23.5" x14ac:dyDescent="0.55000000000000004">
      <c r="A11" s="4" t="s">
        <v>1</v>
      </c>
      <c r="B11" s="4" t="s">
        <v>7</v>
      </c>
      <c r="C11" s="7">
        <v>30</v>
      </c>
      <c r="F11" s="5" t="str" cm="1">
        <f t="array" ref="F11:H21">_xlfn._xlws.SORT(A11:C21,1,-1)</f>
        <v>Paraná</v>
      </c>
      <c r="G11" s="5" t="str">
        <v>Arthur</v>
      </c>
      <c r="H11" s="5">
        <v>21</v>
      </c>
    </row>
    <row r="12" spans="1:14" ht="23.5" x14ac:dyDescent="0.55000000000000004">
      <c r="A12" s="4" t="s">
        <v>5</v>
      </c>
      <c r="B12" s="4" t="s">
        <v>8</v>
      </c>
      <c r="C12" s="7">
        <v>21</v>
      </c>
      <c r="F12" s="5" t="str">
        <v>Paraná</v>
      </c>
      <c r="G12" s="5" t="str">
        <v>Davi</v>
      </c>
      <c r="H12" s="5">
        <v>49</v>
      </c>
    </row>
    <row r="13" spans="1:14" ht="23.5" x14ac:dyDescent="0.55000000000000004">
      <c r="A13" s="4" t="s">
        <v>1</v>
      </c>
      <c r="B13" s="4" t="s">
        <v>9</v>
      </c>
      <c r="C13" s="7">
        <v>43</v>
      </c>
      <c r="F13" s="5" t="str">
        <v>Paraná</v>
      </c>
      <c r="G13" s="5" t="str">
        <v>Laura</v>
      </c>
      <c r="H13" s="5">
        <v>31</v>
      </c>
    </row>
    <row r="14" spans="1:14" ht="23.5" x14ac:dyDescent="0.55000000000000004">
      <c r="A14" s="4" t="s">
        <v>2</v>
      </c>
      <c r="B14" s="4" t="s">
        <v>10</v>
      </c>
      <c r="C14" s="7">
        <v>35</v>
      </c>
      <c r="F14" s="5" t="str">
        <v>Paraná</v>
      </c>
      <c r="G14" s="5" t="str">
        <v>Gabriel</v>
      </c>
      <c r="H14" s="5">
        <v>38</v>
      </c>
    </row>
    <row r="15" spans="1:14" ht="23.5" x14ac:dyDescent="0.55000000000000004">
      <c r="A15" s="4" t="s">
        <v>3</v>
      </c>
      <c r="B15" s="4" t="s">
        <v>11</v>
      </c>
      <c r="C15" s="7">
        <v>18</v>
      </c>
      <c r="F15" s="5" t="str">
        <v>Mato Grosso</v>
      </c>
      <c r="G15" s="5" t="str">
        <v>Bernardo</v>
      </c>
      <c r="H15" s="5">
        <v>19</v>
      </c>
    </row>
    <row r="16" spans="1:14" ht="23.5" x14ac:dyDescent="0.55000000000000004">
      <c r="A16" s="4" t="s">
        <v>3</v>
      </c>
      <c r="B16" s="4" t="s">
        <v>12</v>
      </c>
      <c r="C16" s="7">
        <v>22</v>
      </c>
      <c r="F16" s="5" t="str">
        <v>Maranhão</v>
      </c>
      <c r="G16" s="5" t="str">
        <v>Alice</v>
      </c>
      <c r="H16" s="5">
        <v>18</v>
      </c>
    </row>
    <row r="17" spans="1:12" ht="23.5" x14ac:dyDescent="0.55000000000000004">
      <c r="A17" s="4" t="s">
        <v>5</v>
      </c>
      <c r="B17" s="4" t="s">
        <v>13</v>
      </c>
      <c r="C17" s="7">
        <v>49</v>
      </c>
      <c r="F17" s="5" t="str">
        <v>Maranhão</v>
      </c>
      <c r="G17" s="5" t="str">
        <v>Theo</v>
      </c>
      <c r="H17" s="5">
        <v>22</v>
      </c>
    </row>
    <row r="18" spans="1:12" ht="23.5" x14ac:dyDescent="0.55000000000000004">
      <c r="A18" s="4" t="s">
        <v>5</v>
      </c>
      <c r="B18" s="4" t="s">
        <v>14</v>
      </c>
      <c r="C18" s="7">
        <v>31</v>
      </c>
      <c r="F18" s="5" t="str">
        <v>Maranhão</v>
      </c>
      <c r="G18" s="5" t="str">
        <v>Gael</v>
      </c>
      <c r="H18" s="5">
        <v>25</v>
      </c>
    </row>
    <row r="19" spans="1:12" ht="23.5" x14ac:dyDescent="0.55000000000000004">
      <c r="A19" s="4" t="s">
        <v>5</v>
      </c>
      <c r="B19" s="4" t="s">
        <v>15</v>
      </c>
      <c r="C19" s="7">
        <v>38</v>
      </c>
      <c r="F19" s="5" t="str">
        <v>Amazonas</v>
      </c>
      <c r="G19" s="5" t="str">
        <v>Helena</v>
      </c>
      <c r="H19" s="5">
        <v>35</v>
      </c>
    </row>
    <row r="20" spans="1:12" ht="23.5" x14ac:dyDescent="0.55000000000000004">
      <c r="A20" s="4" t="s">
        <v>3</v>
      </c>
      <c r="B20" s="4" t="s">
        <v>16</v>
      </c>
      <c r="C20" s="7">
        <v>25</v>
      </c>
      <c r="F20" s="5" t="str">
        <v>Acre</v>
      </c>
      <c r="G20" s="5" t="str">
        <v>Miguel</v>
      </c>
      <c r="H20" s="5">
        <v>30</v>
      </c>
    </row>
    <row r="21" spans="1:12" ht="23.5" x14ac:dyDescent="0.55000000000000004">
      <c r="A21" s="4" t="s">
        <v>4</v>
      </c>
      <c r="B21" s="4" t="s">
        <v>17</v>
      </c>
      <c r="C21" s="7">
        <v>19</v>
      </c>
      <c r="F21" s="5" t="str">
        <v>Acre</v>
      </c>
      <c r="G21" s="5" t="str">
        <v>Heitor</v>
      </c>
      <c r="H21" s="5">
        <v>43</v>
      </c>
    </row>
    <row r="25" spans="1:12" ht="23.5" x14ac:dyDescent="0.55000000000000004">
      <c r="B25" s="11" t="s">
        <v>23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8" spans="1:12" ht="23.5" x14ac:dyDescent="0.55000000000000004">
      <c r="A28" s="3" t="s">
        <v>6</v>
      </c>
      <c r="B28" s="3" t="s">
        <v>0</v>
      </c>
      <c r="C28" s="6" t="s">
        <v>18</v>
      </c>
      <c r="F28" s="6" t="s">
        <v>24</v>
      </c>
      <c r="H28" s="6" t="s">
        <v>25</v>
      </c>
    </row>
    <row r="29" spans="1:12" ht="23.5" x14ac:dyDescent="0.55000000000000004">
      <c r="A29" s="4" t="s">
        <v>1</v>
      </c>
      <c r="B29" s="4" t="s">
        <v>7</v>
      </c>
      <c r="C29" s="7">
        <v>30</v>
      </c>
      <c r="F29" s="8" t="str" cm="1">
        <f t="array" ref="F29:F39">_xlfn.SORTBY(B29:B39,C29:C39,-1)</f>
        <v>Davi</v>
      </c>
      <c r="H29" s="8" t="str" cm="1">
        <f t="array" ref="H29:H39">_xlfn.SORTBY(B29:B39,C29:C39,1)</f>
        <v>Alice</v>
      </c>
    </row>
    <row r="30" spans="1:12" ht="23.5" x14ac:dyDescent="0.55000000000000004">
      <c r="A30" s="4" t="s">
        <v>5</v>
      </c>
      <c r="B30" s="4" t="s">
        <v>8</v>
      </c>
      <c r="C30" s="7">
        <v>21</v>
      </c>
      <c r="F30" s="8" t="str">
        <v>Heitor</v>
      </c>
      <c r="H30" s="8" t="str">
        <v>Bernardo</v>
      </c>
    </row>
    <row r="31" spans="1:12" ht="23.5" x14ac:dyDescent="0.55000000000000004">
      <c r="A31" s="4" t="s">
        <v>1</v>
      </c>
      <c r="B31" s="4" t="s">
        <v>9</v>
      </c>
      <c r="C31" s="7">
        <v>43</v>
      </c>
      <c r="F31" s="8" t="str">
        <v>Gabriel</v>
      </c>
      <c r="H31" s="8" t="str">
        <v>Arthur</v>
      </c>
    </row>
    <row r="32" spans="1:12" ht="23.5" x14ac:dyDescent="0.55000000000000004">
      <c r="A32" s="4" t="s">
        <v>2</v>
      </c>
      <c r="B32" s="4" t="s">
        <v>10</v>
      </c>
      <c r="C32" s="7">
        <v>35</v>
      </c>
      <c r="F32" s="8" t="str">
        <v>Helena</v>
      </c>
      <c r="H32" s="8" t="str">
        <v>Theo</v>
      </c>
    </row>
    <row r="33" spans="1:12" ht="23.5" x14ac:dyDescent="0.55000000000000004">
      <c r="A33" s="4" t="s">
        <v>3</v>
      </c>
      <c r="B33" s="4" t="s">
        <v>11</v>
      </c>
      <c r="C33" s="7">
        <v>18</v>
      </c>
      <c r="F33" s="8" t="str">
        <v>Laura</v>
      </c>
      <c r="H33" s="8" t="str">
        <v>Gael</v>
      </c>
    </row>
    <row r="34" spans="1:12" ht="23.5" x14ac:dyDescent="0.55000000000000004">
      <c r="A34" s="4" t="s">
        <v>3</v>
      </c>
      <c r="B34" s="4" t="s">
        <v>12</v>
      </c>
      <c r="C34" s="7">
        <v>22</v>
      </c>
      <c r="F34" s="8" t="str">
        <v>Miguel</v>
      </c>
      <c r="H34" s="8" t="str">
        <v>Miguel</v>
      </c>
    </row>
    <row r="35" spans="1:12" ht="23.5" x14ac:dyDescent="0.55000000000000004">
      <c r="A35" s="4" t="s">
        <v>5</v>
      </c>
      <c r="B35" s="4" t="s">
        <v>13</v>
      </c>
      <c r="C35" s="7">
        <v>49</v>
      </c>
      <c r="F35" s="8" t="str">
        <v>Gael</v>
      </c>
      <c r="H35" s="8" t="str">
        <v>Laura</v>
      </c>
    </row>
    <row r="36" spans="1:12" ht="23.5" x14ac:dyDescent="0.55000000000000004">
      <c r="A36" s="4" t="s">
        <v>5</v>
      </c>
      <c r="B36" s="4" t="s">
        <v>14</v>
      </c>
      <c r="C36" s="7">
        <v>31</v>
      </c>
      <c r="F36" s="8" t="str">
        <v>Theo</v>
      </c>
      <c r="H36" s="8" t="str">
        <v>Helena</v>
      </c>
    </row>
    <row r="37" spans="1:12" ht="23.5" x14ac:dyDescent="0.55000000000000004">
      <c r="A37" s="4" t="s">
        <v>5</v>
      </c>
      <c r="B37" s="4" t="s">
        <v>15</v>
      </c>
      <c r="C37" s="7">
        <v>38</v>
      </c>
      <c r="F37" s="8" t="str">
        <v>Arthur</v>
      </c>
      <c r="H37" s="8" t="str">
        <v>Gabriel</v>
      </c>
    </row>
    <row r="38" spans="1:12" ht="23.5" x14ac:dyDescent="0.55000000000000004">
      <c r="A38" s="4" t="s">
        <v>3</v>
      </c>
      <c r="B38" s="4" t="s">
        <v>16</v>
      </c>
      <c r="C38" s="7">
        <v>25</v>
      </c>
      <c r="F38" s="8" t="str">
        <v>Bernardo</v>
      </c>
      <c r="H38" s="8" t="str">
        <v>Heitor</v>
      </c>
    </row>
    <row r="39" spans="1:12" ht="23.5" x14ac:dyDescent="0.55000000000000004">
      <c r="A39" s="4" t="s">
        <v>4</v>
      </c>
      <c r="B39" s="4" t="s">
        <v>17</v>
      </c>
      <c r="C39" s="7">
        <v>19</v>
      </c>
      <c r="F39" s="8" t="str">
        <v>Alice</v>
      </c>
      <c r="H39" s="8" t="str">
        <v>Davi</v>
      </c>
    </row>
    <row r="43" spans="1:12" ht="23.5" x14ac:dyDescent="0.55000000000000004">
      <c r="B43" s="11" t="s">
        <v>26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6" spans="1:12" ht="23.5" x14ac:dyDescent="0.55000000000000004">
      <c r="A46" s="3" t="s">
        <v>6</v>
      </c>
      <c r="B46" s="3" t="s">
        <v>0</v>
      </c>
      <c r="C46" s="6" t="s">
        <v>18</v>
      </c>
      <c r="F46" s="3" t="s">
        <v>6</v>
      </c>
      <c r="G46" s="3" t="s">
        <v>0</v>
      </c>
      <c r="H46" s="6" t="s">
        <v>18</v>
      </c>
    </row>
    <row r="47" spans="1:12" ht="23.5" x14ac:dyDescent="0.55000000000000004">
      <c r="A47" s="4" t="s">
        <v>1</v>
      </c>
      <c r="B47" s="4" t="s">
        <v>7</v>
      </c>
      <c r="C47" s="7">
        <v>30</v>
      </c>
      <c r="F47" s="5" t="str" cm="1">
        <f t="array" ref="F47:H57">_xlfn.SORTBY(A47:C57,A47:A57,1,B47:B57,1)</f>
        <v>Acre</v>
      </c>
      <c r="G47" s="5" t="str">
        <v>Heitor</v>
      </c>
      <c r="H47" s="5">
        <v>43</v>
      </c>
    </row>
    <row r="48" spans="1:12" ht="23.5" x14ac:dyDescent="0.55000000000000004">
      <c r="A48" s="4" t="s">
        <v>5</v>
      </c>
      <c r="B48" s="4" t="s">
        <v>8</v>
      </c>
      <c r="C48" s="7">
        <v>21</v>
      </c>
      <c r="F48" s="5" t="str">
        <v>Acre</v>
      </c>
      <c r="G48" s="5" t="str">
        <v>Miguel</v>
      </c>
      <c r="H48" s="5">
        <v>30</v>
      </c>
    </row>
    <row r="49" spans="1:8" ht="23.5" x14ac:dyDescent="0.55000000000000004">
      <c r="A49" s="4" t="s">
        <v>1</v>
      </c>
      <c r="B49" s="4" t="s">
        <v>9</v>
      </c>
      <c r="C49" s="7">
        <v>43</v>
      </c>
      <c r="F49" s="5" t="str">
        <v>Amazonas</v>
      </c>
      <c r="G49" s="5" t="str">
        <v>Helena</v>
      </c>
      <c r="H49" s="5">
        <v>35</v>
      </c>
    </row>
    <row r="50" spans="1:8" ht="23.5" x14ac:dyDescent="0.55000000000000004">
      <c r="A50" s="4" t="s">
        <v>2</v>
      </c>
      <c r="B50" s="4" t="s">
        <v>10</v>
      </c>
      <c r="C50" s="7">
        <v>35</v>
      </c>
      <c r="F50" s="5" t="str">
        <v>Maranhão</v>
      </c>
      <c r="G50" s="5" t="str">
        <v>Alice</v>
      </c>
      <c r="H50" s="5">
        <v>18</v>
      </c>
    </row>
    <row r="51" spans="1:8" ht="23.5" x14ac:dyDescent="0.55000000000000004">
      <c r="A51" s="4" t="s">
        <v>3</v>
      </c>
      <c r="B51" s="4" t="s">
        <v>11</v>
      </c>
      <c r="C51" s="7">
        <v>18</v>
      </c>
      <c r="F51" s="5" t="str">
        <v>Maranhão</v>
      </c>
      <c r="G51" s="5" t="str">
        <v>Gael</v>
      </c>
      <c r="H51" s="5">
        <v>25</v>
      </c>
    </row>
    <row r="52" spans="1:8" ht="23.5" x14ac:dyDescent="0.55000000000000004">
      <c r="A52" s="4" t="s">
        <v>3</v>
      </c>
      <c r="B52" s="4" t="s">
        <v>12</v>
      </c>
      <c r="C52" s="7">
        <v>22</v>
      </c>
      <c r="F52" s="5" t="str">
        <v>Maranhão</v>
      </c>
      <c r="G52" s="5" t="str">
        <v>Theo</v>
      </c>
      <c r="H52" s="5">
        <v>22</v>
      </c>
    </row>
    <row r="53" spans="1:8" ht="23.5" x14ac:dyDescent="0.55000000000000004">
      <c r="A53" s="4" t="s">
        <v>5</v>
      </c>
      <c r="B53" s="4" t="s">
        <v>13</v>
      </c>
      <c r="C53" s="7">
        <v>49</v>
      </c>
      <c r="F53" s="5" t="str">
        <v>Mato Grosso</v>
      </c>
      <c r="G53" s="5" t="str">
        <v>Bernardo</v>
      </c>
      <c r="H53" s="5">
        <v>19</v>
      </c>
    </row>
    <row r="54" spans="1:8" ht="23.5" x14ac:dyDescent="0.55000000000000004">
      <c r="A54" s="4" t="s">
        <v>5</v>
      </c>
      <c r="B54" s="4" t="s">
        <v>14</v>
      </c>
      <c r="C54" s="7">
        <v>31</v>
      </c>
      <c r="F54" s="5" t="str">
        <v>Paraná</v>
      </c>
      <c r="G54" s="5" t="str">
        <v>Arthur</v>
      </c>
      <c r="H54" s="5">
        <v>21</v>
      </c>
    </row>
    <row r="55" spans="1:8" ht="23.5" x14ac:dyDescent="0.55000000000000004">
      <c r="A55" s="4" t="s">
        <v>5</v>
      </c>
      <c r="B55" s="4" t="s">
        <v>15</v>
      </c>
      <c r="C55" s="7">
        <v>38</v>
      </c>
      <c r="F55" s="5" t="str">
        <v>Paraná</v>
      </c>
      <c r="G55" s="5" t="str">
        <v>Davi</v>
      </c>
      <c r="H55" s="5">
        <v>49</v>
      </c>
    </row>
    <row r="56" spans="1:8" ht="23.5" x14ac:dyDescent="0.55000000000000004">
      <c r="A56" s="4" t="s">
        <v>3</v>
      </c>
      <c r="B56" s="4" t="s">
        <v>16</v>
      </c>
      <c r="C56" s="7">
        <v>25</v>
      </c>
      <c r="F56" s="5" t="str">
        <v>Paraná</v>
      </c>
      <c r="G56" s="5" t="str">
        <v>Gabriel</v>
      </c>
      <c r="H56" s="5">
        <v>38</v>
      </c>
    </row>
    <row r="57" spans="1:8" ht="23.5" x14ac:dyDescent="0.55000000000000004">
      <c r="A57" s="4" t="s">
        <v>4</v>
      </c>
      <c r="B57" s="4" t="s">
        <v>17</v>
      </c>
      <c r="C57" s="7">
        <v>19</v>
      </c>
      <c r="F57" s="5" t="str">
        <v>Paraná</v>
      </c>
      <c r="G57" s="5" t="str">
        <v>Laura</v>
      </c>
      <c r="H57" s="5">
        <v>31</v>
      </c>
    </row>
  </sheetData>
  <mergeCells count="5">
    <mergeCell ref="B2:N4"/>
    <mergeCell ref="B5:C5"/>
    <mergeCell ref="B6:C6"/>
    <mergeCell ref="B25:L25"/>
    <mergeCell ref="B43:L43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2021-12-20T13:17:28Z</dcterms:created>
  <dcterms:modified xsi:type="dcterms:W3CDTF">2026-08-07T14:42:10Z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2026-08-07T14:31:23Z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922e9352-3424-49e8-af2f-a5bc2faf3af0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